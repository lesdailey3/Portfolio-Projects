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13_ncr:1_{28D2B86E-7C4F-4C76-9041-C00E155B448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4 Bridge Chart" sheetId="27" r:id="rId12"/>
    <sheet name="3.2 Dougnut chart" sheetId="28" r:id="rId13"/>
    <sheet name="3.3 Area &amp; line chart" sheetId="26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  <definedName name="_xlchart.v1.0" hidden="1">'3.4 Bridge Chart'!$B$4:$B$8</definedName>
    <definedName name="_xlchart.v1.1" hidden="1">'3.4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27" l="1"/>
  <c r="C8" i="27"/>
  <c r="C7" i="27"/>
  <c r="C6" i="27"/>
  <c r="C5" i="27"/>
  <c r="C4" i="27"/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8" i="21" l="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<sst xmlns="http://schemas.openxmlformats.org/spreadsheetml/2006/main" count="968" uniqueCount="258">
  <si>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</si>
  <si>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</si>
  <si>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</si>
  <si>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</si>
  <si>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</si>
  <si>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</si>
  <si>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</si>
  <si>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</si>
  <si>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</si>
  <si>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</si>
  <si>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</si>
  <si>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</si>
  <si>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</si>
  <si>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</si>
  <si>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</si>
  <si>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</si>
  <si>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</si>
  <si>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</si>
  <si>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</si>
  <si>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</si>
  <si>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</si>
  <si>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</si>
  <si>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</si>
  <si>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</si>
  <si>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</si>
  <si>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</si>
  <si>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</si>
  <si>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</si>
  <si>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</si>
  <si>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</si>
  <si>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</si>
  <si>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</si>
  <si>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</si>
  <si>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</si>
  <si>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</si>
  <si>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</si>
  <si>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</si>
  <si>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</si>
  <si>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</si>
  <si>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</si>
  <si>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</si>
  <si>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</si>
  <si>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</si>
  <si>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</si>
  <si>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</si>
  <si>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</si>
  <si>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</si>
  <si>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</si>
  <si>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</si>
  <si>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</si>
  <si>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</si>
  <si>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</si>
  <si>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</si>
  <si>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</si>
  <si>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</si>
  <si>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</si>
  <si>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</si>
  <si>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</si>
  <si>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</si>
  <si>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</si>
  <si>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</si>
  <si>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</si>
  <si>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</si>
  <si>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</si>
  <si>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</si>
  <si>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</si>
  <si>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</si>
  <si>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</si>
  <si>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</si>
  <si>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</si>
  <si>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</si>
  <si>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</si>
  <si>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</si>
  <si>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</si>
  <si>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</si>
  <si>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</si>
  <si>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</si>
  <si>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</si>
  <si>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</si>
  <si>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</si>
  <si>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</si>
  <si>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</si>
  <si>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</si>
  <si>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</si>
  <si>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</si>
  <si>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</si>
  <si>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</si>
  <si>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</si>
  <si>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</si>
  <si>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</si>
  <si>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</si>
  <si>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</si>
  <si>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</si>
  <si>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</si>
  <si>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</si>
  <si>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</si>
  <si>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</si>
  <si>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</si>
  <si>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</si>
  <si>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</si>
  <si>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</si>
  <si>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</si>
  <si>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</si>
  <si>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</si>
  <si>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</si>
  <si>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</si>
  <si>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</si>
  <si>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</si>
  <si>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</si>
  <si>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</si>
  <si>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</si>
  <si>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</si>
  <si>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</si>
  <si>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</si>
  <si>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</si>
  <si>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</si>
  <si>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</si>
  <si>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</si>
  <si>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</si>
  <si>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</si>
  <si>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</si>
  <si>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</si>
  <si>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</si>
  <si>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</si>
  <si>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</si>
  <si>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</si>
  <si>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</si>
  <si>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</si>
  <si>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</si>
  <si>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</si>
  <si>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</si>
  <si>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</si>
  <si>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</si>
  <si>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</si>
  <si>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</si>
  <si>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</si>
  <si>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</si>
  <si>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</si>
  <si>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</si>
  <si>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</si>
  <si>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</si>
  <si>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</si>
  <si>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</si>
  <si>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</si>
  <si>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</si>
  <si>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</si>
  <si>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</si>
  <si>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</si>
  <si>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</si>
  <si>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</si>
  <si>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</si>
  <si>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</si>
  <si>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</si>
  <si>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</si>
  <si>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</si>
  <si>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</si>
  <si>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</si>
  <si>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</si>
  <si>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</si>
  <si>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</si>
  <si>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</si>
  <si>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</si>
  <si>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</si>
  <si>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</si>
  <si>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</si>
  <si>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</si>
  <si>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</si>
  <si>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</si>
  <si>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</si>
  <si>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</si>
  <si>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</si>
  <si>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</si>
  <si>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</si>
  <si>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</si>
  <si>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</si>
  <si>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</si>
  <si>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</si>
  <si>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</si>
  <si>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</si>
  <si>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</si>
  <si>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</si>
  <si>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</si>
  <si>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</si>
  <si>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</si>
  <si>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</si>
  <si>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</si>
  <si>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</si>
  <si>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</si>
  <si>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</si>
  <si>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</si>
  <si>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</si>
  <si>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</si>
  <si>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</si>
  <si>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</si>
  <si>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</si>
  <si>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</si>
  <si>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</si>
  <si>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</si>
  <si>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</si>
  <si>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</si>
  <si>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</si>
  <si>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</si>
  <si>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</si>
  <si>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</si>
  <si>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</si>
  <si>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</si>
  <si>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</si>
  <si>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</si>
  <si>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</si>
  <si>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</si>
  <si>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</si>
  <si>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</si>
  <si>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</si>
  <si>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</si>
  <si>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</si>
  <si>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</si>
  <si>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</si>
  <si>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</si>
  <si>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</si>
  <si>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</si>
  <si>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</si>
  <si>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</si>
  <si>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</si>
  <si>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</si>
  <si>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</si>
  <si>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</si>
  <si>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</si>
  <si>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</si>
  <si>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</si>
  <si>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</si>
  <si>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</si>
  <si>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</si>
  <si>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</si>
  <si>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</si>
  <si>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</si>
  <si>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</si>
  <si>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</si>
  <si>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</si>
  <si>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</si>
  <si>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</si>
  <si>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</si>
  <si>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</si>
  <si>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</si>
  <si>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</si>
  <si>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</si>
  <si>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</si>
  <si>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</si>
  <si>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</si>
  <si>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</si>
  <si>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</si>
  <si>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</si>
  <si>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</si>
  <si>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</si>
  <si>
    <t>Change in Opex</t>
  </si>
  <si>
    <t>Check</t>
  </si>
  <si>
    <t>EBITDA FY17</t>
  </si>
  <si>
    <t>EBITDA FY18</t>
  </si>
  <si>
    <t>Change in Variable 
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</si>
</sst>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7" fontId="17" fillId="2" borderId="0" xfId="0" applyNumberFormat="1" applyFont="1" applyFill="1"/>
    <xf numFmtId="167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7" fontId="17" fillId="2" borderId="0" xfId="0" applyNumberFormat="1" applyFont="1" applyFill="1" applyAlignment="1">
      <alignment vertical="top" wrapText="1"/>
    </xf>
    <xf numFmtId="165" fontId="1" fillId="2" borderId="0" xfId="0" applyNumberFormat="1" applyFont="1" applyFill="1"/>
    <xf numFmtId="165" fontId="1" fillId="4" borderId="0" xfId="0" applyNumberFormat="1" applyFont="1" applyFill="1"/>
    <xf numFmtId="165" fontId="1" fillId="2" borderId="0" xfId="0" applyNumberFormat="1" applyFont="1" applyFill="1" applyAlignment="1">
      <alignment wrapText="1"/>
    </xf>
    <xf numFmtId="164" fontId="1" fillId="0" borderId="0" xfId="0" applyNumberFormat="1" applyFont="1" applyFill="1" applyAlignment="1">
      <alignment horizontal="right"/>
    </xf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bridge: FY17-FY18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2DB0576A-7C13-4A1E-932A-A5BD79EC1122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Euro in million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168375</xdr:colOff>
      <xdr:row>0</xdr:row>
      <xdr:rowOff>122914</xdr:rowOff>
    </xdr:from>
    <xdr:to>
      <xdr:col>11</xdr:col>
      <xdr:colOff>319574</xdr:colOff>
      <xdr:row>12</xdr:row>
      <xdr:rowOff>78616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365125</xdr:colOff>
      <xdr:row>1</xdr:row>
      <xdr:rowOff>146049</xdr:rowOff>
    </xdr:from>
    <xdr:to>
      <xdr:col>11</xdr:col>
      <xdr:colOff>326073</xdr:colOff>
      <xdr:row>15</xdr:row>
      <xdr:rowOff>76517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1325192-B5B2-4445-B5D4-BB897FA421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5" y="344487"/>
              <a:ext cx="5914073" cy="21926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134671</xdr:colOff>
      <xdr:row>0</xdr:row>
      <xdr:rowOff>99499</xdr:rowOff>
    </xdr:from>
    <xdr:to>
      <xdr:col>11</xdr:col>
      <xdr:colOff>54215</xdr:colOff>
      <xdr:row>14</xdr:row>
      <xdr:rowOff>8115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164783</xdr:colOff>
      <xdr:row>0</xdr:row>
      <xdr:rowOff>83820</xdr:rowOff>
    </xdr:from>
    <xdr:to>
      <xdr:col>12</xdr:col>
      <xdr:colOff>458470</xdr:colOff>
      <xdr:row>18</xdr:row>
      <xdr:rowOff>28257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/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tabSelected="1" workbookViewId="0"/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/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252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/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251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/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250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/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245</v>
      </c>
      <c r="G3" s="16" t="s">
        <v>246</v>
      </c>
      <c r="H3" s="16" t="s">
        <v>247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63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/>
  </sheetViews>
  <sheetFormatPr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245</v>
      </c>
      <c r="D3" s="34" t="s">
        <v>246</v>
      </c>
      <c r="E3" s="34" t="s">
        <v>247</v>
      </c>
      <c r="G3" s="43" t="s">
        <v>248</v>
      </c>
      <c r="H3" s="43" t="s">
        <v>249</v>
      </c>
      <c r="J3" s="42"/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4">
        <f t="shared" si="0"/>
        <v>-6.0515972378227811E-4</v>
      </c>
      <c r="H18" s="44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6" spans="1:8" ht="12" customHeight="1" x14ac:dyDescent="0.2">
      <c r="B26" s="48" t="s">
        <v>234</v>
      </c>
      <c r="C26" s="49">
        <f>C9/C7</f>
        <v>0.80329281353949789</v>
      </c>
      <c r="D26" s="49">
        <f>D9/D7</f>
        <v>0.79014052477841912</v>
      </c>
      <c r="E26" s="49">
        <f>E9/E7</f>
        <v>0.78437246085651935</v>
      </c>
    </row>
    <row r="27" spans="1:8" ht="12" customHeight="1" x14ac:dyDescent="0.2">
      <c r="B27" s="48" t="s">
        <v>235</v>
      </c>
      <c r="C27" s="49">
        <f>C17/C7</f>
        <v>0.36878477758296191</v>
      </c>
      <c r="D27" s="49">
        <f>D17/D7</f>
        <v>0.16301696811306118</v>
      </c>
      <c r="E27" s="49">
        <f>E17/E7</f>
        <v>0.20104802619916018</v>
      </c>
    </row>
    <row r="28" spans="1:8" ht="12" customHeight="1" x14ac:dyDescent="0.2">
      <c r="B28" s="48" t="s">
        <v>236</v>
      </c>
      <c r="C28" s="49">
        <f>C19/C7</f>
        <v>0.2779466397506159</v>
      </c>
      <c r="D28" s="49">
        <f>D19/D7</f>
        <v>8.4499823378317393E-2</v>
      </c>
      <c r="E28" s="49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/>
  </sheetViews>
  <sheetFormatPr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237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0" t="s">
        <v>213</v>
      </c>
      <c r="C4" s="51">
        <f>'2.2 P&amp;L statement'!C4</f>
        <v>14.500341000000001</v>
      </c>
      <c r="D4" s="51">
        <f>'2.2 P&amp;L statement'!D4</f>
        <v>16.148295364999999</v>
      </c>
      <c r="E4" s="51">
        <f>'2.2 P&amp;L statement'!E4</f>
        <v>15.047803019</v>
      </c>
    </row>
    <row r="5" spans="2:10" x14ac:dyDescent="0.2">
      <c r="B5" s="50" t="s">
        <v>63</v>
      </c>
      <c r="C5" s="51">
        <f>'2.2 P&amp;L statement'!C5</f>
        <v>4.7948561920000001</v>
      </c>
      <c r="D5" s="51">
        <f>'2.2 P&amp;L statement'!D5</f>
        <v>6.9602176449999993</v>
      </c>
      <c r="E5" s="51">
        <f>'2.2 P&amp;L statement'!E5</f>
        <v>6.3736175140000002</v>
      </c>
    </row>
    <row r="6" spans="2:10" x14ac:dyDescent="0.2">
      <c r="B6" s="50" t="s">
        <v>215</v>
      </c>
      <c r="C6" s="51">
        <f>'2.2 P&amp;L statement'!C6</f>
        <v>3.2200542519999997</v>
      </c>
      <c r="D6" s="51">
        <f>'2.2 P&amp;L statement'!D6</f>
        <v>2.9240919949999999</v>
      </c>
      <c r="E6" s="51">
        <f>'2.2 P&amp;L statement'!E6</f>
        <v>4.8931777299999997</v>
      </c>
    </row>
    <row r="7" spans="2:10" x14ac:dyDescent="0.2">
      <c r="B7" s="50" t="s">
        <v>234</v>
      </c>
      <c r="C7" s="52">
        <f>'2.2 P&amp;L statement'!C26</f>
        <v>0.80329281353949789</v>
      </c>
      <c r="D7" s="52">
        <f>'2.2 P&amp;L statement'!D26</f>
        <v>0.79014052477841912</v>
      </c>
      <c r="E7" s="52">
        <f>'2.2 P&amp;L statement'!E26</f>
        <v>0.78437246085651935</v>
      </c>
    </row>
    <row r="12" spans="2:10" x14ac:dyDescent="0.2">
      <c r="J12" s="2" t="s">
        <v>238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zoomScale="120" zoomScaleNormal="120" workbookViewId="0"/>
  </sheetViews>
  <sheetFormatPr defaultRowHeight="12" x14ac:dyDescent="0.2"/>
  <cols>
    <col min="1" max="1" width="2" style="2" customWidth="1"/>
    <col min="2" max="2" width="20.42578125" style="2" bestFit="1" customWidth="1"/>
    <col min="3" max="3" width="11.28515625" style="51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</row>
    <row r="3" spans="1:36" x14ac:dyDescent="0.2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x14ac:dyDescent="0.2">
      <c r="A4" s="60"/>
      <c r="B4" s="60" t="s">
        <v>255</v>
      </c>
      <c r="C4" s="60">
        <f>'2.2 P&amp;L statement'!D17</f>
        <v>4.2437563400000018</v>
      </c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</row>
    <row r="5" spans="1:36" x14ac:dyDescent="0.2">
      <c r="A5" s="60"/>
      <c r="B5" s="60" t="s">
        <v>241</v>
      </c>
      <c r="C5" s="60">
        <f>'2.2 P&amp;L statement'!E7-'2.2 P&amp;L statement'!D7</f>
        <v>0.28199325799999997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</row>
    <row r="6" spans="1:36" ht="24" x14ac:dyDescent="0.2">
      <c r="A6" s="60"/>
      <c r="B6" s="62" t="s">
        <v>257</v>
      </c>
      <c r="C6" s="60">
        <f>'2.2 P&amp;L statement'!E8-'2.2 P&amp;L statement'!D8</f>
        <v>-0.21096324199999916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</row>
    <row r="7" spans="1:36" x14ac:dyDescent="0.2">
      <c r="A7" s="60"/>
      <c r="B7" s="60" t="s">
        <v>253</v>
      </c>
      <c r="C7" s="60">
        <f>SUM('2.2 P&amp;L statement'!E10:E16)-SUM('2.2 P&amp;L statement'!D10:D16)</f>
        <v>0.97571168500000027</v>
      </c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</row>
    <row r="8" spans="1:36" x14ac:dyDescent="0.2">
      <c r="A8" s="60"/>
      <c r="B8" s="60" t="s">
        <v>256</v>
      </c>
      <c r="C8" s="60">
        <f>'2.2 P&amp;L statement'!E17</f>
        <v>5.2904980409999993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</row>
    <row r="9" spans="1:36" x14ac:dyDescent="0.2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</row>
    <row r="10" spans="1:36" x14ac:dyDescent="0.2">
      <c r="A10" s="60"/>
      <c r="B10" s="61" t="s">
        <v>254</v>
      </c>
      <c r="C10" s="61">
        <f>SUM(C4:C7)-C8</f>
        <v>0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</row>
    <row r="11" spans="1:36" x14ac:dyDescent="0.2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</row>
    <row r="12" spans="1:36" x14ac:dyDescent="0.2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</row>
    <row r="13" spans="1:36" x14ac:dyDescent="0.2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</row>
    <row r="14" spans="1:36" x14ac:dyDescent="0.2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</row>
    <row r="15" spans="1:36" x14ac:dyDescent="0.2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</row>
    <row r="16" spans="1:36" x14ac:dyDescent="0.2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</row>
    <row r="17" spans="1:36" x14ac:dyDescent="0.2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</row>
    <row r="18" spans="1:36" x14ac:dyDescent="0.2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</row>
    <row r="19" spans="1:36" x14ac:dyDescent="0.2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</row>
    <row r="20" spans="1:36" x14ac:dyDescent="0.2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</row>
    <row r="21" spans="1:36" x14ac:dyDescent="0.2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</row>
    <row r="22" spans="1:36" x14ac:dyDescent="0.2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</row>
    <row r="23" spans="1:36" x14ac:dyDescent="0.2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</row>
    <row r="24" spans="1:36" x14ac:dyDescent="0.2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</row>
    <row r="25" spans="1:36" x14ac:dyDescent="0.2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x14ac:dyDescent="0.2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</row>
    <row r="27" spans="1:36" x14ac:dyDescent="0.2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</row>
    <row r="28" spans="1:36" x14ac:dyDescent="0.2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</row>
    <row r="29" spans="1:36" x14ac:dyDescent="0.2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</row>
    <row r="30" spans="1:36" x14ac:dyDescent="0.2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36" x14ac:dyDescent="0.2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</row>
    <row r="32" spans="1:36" x14ac:dyDescent="0.2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</row>
    <row r="33" spans="1:36" x14ac:dyDescent="0.2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</row>
    <row r="34" spans="1:36" x14ac:dyDescent="0.2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</row>
    <row r="35" spans="1:36" x14ac:dyDescent="0.2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x14ac:dyDescent="0.2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x14ac:dyDescent="0.2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</row>
    <row r="38" spans="1:36" x14ac:dyDescent="0.2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</row>
    <row r="39" spans="1:36" x14ac:dyDescent="0.2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</row>
    <row r="40" spans="1:36" x14ac:dyDescent="0.2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</row>
    <row r="41" spans="1:36" x14ac:dyDescent="0.2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</row>
    <row r="42" spans="1:36" x14ac:dyDescent="0.2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</row>
    <row r="43" spans="1:36" x14ac:dyDescent="0.2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</row>
    <row r="44" spans="1:36" x14ac:dyDescent="0.2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</row>
    <row r="45" spans="1:36" x14ac:dyDescent="0.2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</row>
    <row r="46" spans="1:36" x14ac:dyDescent="0.2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</row>
    <row r="47" spans="1:36" x14ac:dyDescent="0.2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x14ac:dyDescent="0.2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</row>
    <row r="49" spans="1:36" x14ac:dyDescent="0.2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</row>
    <row r="50" spans="1:36" x14ac:dyDescent="0.2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</row>
    <row r="51" spans="1:36" x14ac:dyDescent="0.2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x14ac:dyDescent="0.2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</row>
    <row r="53" spans="1:36" x14ac:dyDescent="0.2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</row>
    <row r="54" spans="1:36" x14ac:dyDescent="0.2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</row>
    <row r="55" spans="1:36" x14ac:dyDescent="0.2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</row>
    <row r="56" spans="1:36" x14ac:dyDescent="0.2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</row>
    <row r="57" spans="1:36" x14ac:dyDescent="0.2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</row>
    <row r="58" spans="1:36" x14ac:dyDescent="0.2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x14ac:dyDescent="0.2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</row>
    <row r="60" spans="1:36" x14ac:dyDescent="0.2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</row>
    <row r="61" spans="1:36" x14ac:dyDescent="0.2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</row>
    <row r="62" spans="1:36" x14ac:dyDescent="0.2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</row>
    <row r="63" spans="1:36" x14ac:dyDescent="0.2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</row>
    <row r="64" spans="1:36" x14ac:dyDescent="0.2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</row>
    <row r="65" spans="1:36" x14ac:dyDescent="0.2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</row>
    <row r="66" spans="1:36" x14ac:dyDescent="0.2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</row>
    <row r="67" spans="1:36" x14ac:dyDescent="0.2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x14ac:dyDescent="0.2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</row>
    <row r="69" spans="1:36" x14ac:dyDescent="0.2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x14ac:dyDescent="0.2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</row>
    <row r="71" spans="1:36" x14ac:dyDescent="0.2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</row>
    <row r="72" spans="1:36" x14ac:dyDescent="0.2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</row>
    <row r="73" spans="1:36" x14ac:dyDescent="0.2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</row>
    <row r="74" spans="1:36" x14ac:dyDescent="0.2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</row>
    <row r="75" spans="1:36" x14ac:dyDescent="0.2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</row>
    <row r="76" spans="1:36" x14ac:dyDescent="0.2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</row>
    <row r="77" spans="1:36" x14ac:dyDescent="0.2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</row>
    <row r="78" spans="1:36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</row>
    <row r="79" spans="1:36" x14ac:dyDescent="0.2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</row>
    <row r="80" spans="1:36" x14ac:dyDescent="0.2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x14ac:dyDescent="0.2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</row>
    <row r="82" spans="1:36" x14ac:dyDescent="0.2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</row>
    <row r="83" spans="1:36" x14ac:dyDescent="0.2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x14ac:dyDescent="0.2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</row>
    <row r="85" spans="1:36" x14ac:dyDescent="0.2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</row>
    <row r="86" spans="1:36" x14ac:dyDescent="0.2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</row>
    <row r="87" spans="1:36" x14ac:dyDescent="0.2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</row>
    <row r="88" spans="1:36" x14ac:dyDescent="0.2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</row>
    <row r="89" spans="1:36" x14ac:dyDescent="0.2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</row>
    <row r="90" spans="1:36" x14ac:dyDescent="0.2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</row>
    <row r="91" spans="1:36" x14ac:dyDescent="0.2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x14ac:dyDescent="0.2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</row>
    <row r="93" spans="1:36" x14ac:dyDescent="0.2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</row>
    <row r="94" spans="1:36" x14ac:dyDescent="0.2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</row>
    <row r="95" spans="1:36" x14ac:dyDescent="0.2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</row>
    <row r="96" spans="1:36" x14ac:dyDescent="0.2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</row>
    <row r="97" spans="1:36" x14ac:dyDescent="0.2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</row>
    <row r="98" spans="1:36" x14ac:dyDescent="0.2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</row>
    <row r="99" spans="1:36" x14ac:dyDescent="0.2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x14ac:dyDescent="0.2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</row>
    <row r="101" spans="1:36" x14ac:dyDescent="0.2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</row>
    <row r="102" spans="1:36" x14ac:dyDescent="0.2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x14ac:dyDescent="0.2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</row>
    <row r="104" spans="1:36" x14ac:dyDescent="0.2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</row>
    <row r="105" spans="1:36" x14ac:dyDescent="0.2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</row>
    <row r="106" spans="1:36" x14ac:dyDescent="0.2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</row>
    <row r="107" spans="1:36" x14ac:dyDescent="0.2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</row>
    <row r="108" spans="1:36" x14ac:dyDescent="0.2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</row>
    <row r="109" spans="1:36" x14ac:dyDescent="0.2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</row>
    <row r="110" spans="1:36" x14ac:dyDescent="0.2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</row>
    <row r="111" spans="1:36" x14ac:dyDescent="0.2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</row>
    <row r="112" spans="1:36" x14ac:dyDescent="0.2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</row>
    <row r="113" spans="1:36" x14ac:dyDescent="0.2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x14ac:dyDescent="0.2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</row>
    <row r="115" spans="1:36" x14ac:dyDescent="0.2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x14ac:dyDescent="0.2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</row>
    <row r="117" spans="1:36" x14ac:dyDescent="0.2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</row>
    <row r="118" spans="1:36" x14ac:dyDescent="0.2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</row>
    <row r="119" spans="1:36" x14ac:dyDescent="0.2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</row>
    <row r="120" spans="1:36" x14ac:dyDescent="0.2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</row>
    <row r="121" spans="1:36" x14ac:dyDescent="0.2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</row>
    <row r="122" spans="1:36" x14ac:dyDescent="0.2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</row>
    <row r="123" spans="1:36" x14ac:dyDescent="0.2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</row>
    <row r="124" spans="1:36" x14ac:dyDescent="0.2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x14ac:dyDescent="0.2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</row>
    <row r="126" spans="1:36" x14ac:dyDescent="0.2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</row>
    <row r="127" spans="1:36" x14ac:dyDescent="0.2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</row>
    <row r="128" spans="1:36" x14ac:dyDescent="0.2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</row>
    <row r="129" spans="1:36" x14ac:dyDescent="0.2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</row>
    <row r="130" spans="1:36" x14ac:dyDescent="0.2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</row>
    <row r="131" spans="1:36" x14ac:dyDescent="0.2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x14ac:dyDescent="0.2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</row>
    <row r="133" spans="1:36" x14ac:dyDescent="0.2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</row>
    <row r="134" spans="1:36" x14ac:dyDescent="0.2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</row>
    <row r="135" spans="1:36" x14ac:dyDescent="0.2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x14ac:dyDescent="0.2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</row>
    <row r="137" spans="1:36" x14ac:dyDescent="0.2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</row>
    <row r="138" spans="1:36" x14ac:dyDescent="0.2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</row>
    <row r="139" spans="1:36" x14ac:dyDescent="0.2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</row>
    <row r="140" spans="1:36" x14ac:dyDescent="0.2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</row>
    <row r="141" spans="1:36" x14ac:dyDescent="0.2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</row>
    <row r="142" spans="1:36" x14ac:dyDescent="0.2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</row>
    <row r="143" spans="1:36" x14ac:dyDescent="0.2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</row>
    <row r="144" spans="1:36" x14ac:dyDescent="0.2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</row>
    <row r="145" spans="1:36" x14ac:dyDescent="0.2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</row>
    <row r="146" spans="1:36" x14ac:dyDescent="0.2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x14ac:dyDescent="0.2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x14ac:dyDescent="0.2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</row>
    <row r="149" spans="1:36" x14ac:dyDescent="0.2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</row>
    <row r="150" spans="1:36" x14ac:dyDescent="0.2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</row>
    <row r="151" spans="1:36" x14ac:dyDescent="0.2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</row>
    <row r="152" spans="1:36" x14ac:dyDescent="0.2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</row>
    <row r="153" spans="1:36" x14ac:dyDescent="0.2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</row>
    <row r="154" spans="1:36" x14ac:dyDescent="0.2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</row>
    <row r="155" spans="1:36" x14ac:dyDescent="0.2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</row>
    <row r="156" spans="1:36" x14ac:dyDescent="0.2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</row>
    <row r="157" spans="1:36" x14ac:dyDescent="0.2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x14ac:dyDescent="0.2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</row>
    <row r="159" spans="1:36" x14ac:dyDescent="0.2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</row>
    <row r="160" spans="1:36" x14ac:dyDescent="0.2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</row>
    <row r="161" spans="1:36" x14ac:dyDescent="0.2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</row>
    <row r="162" spans="1:36" x14ac:dyDescent="0.2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</row>
    <row r="163" spans="1:36" x14ac:dyDescent="0.2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x14ac:dyDescent="0.2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</row>
    <row r="165" spans="1:36" x14ac:dyDescent="0.2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</row>
    <row r="166" spans="1:36" x14ac:dyDescent="0.2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</row>
    <row r="167" spans="1:36" x14ac:dyDescent="0.2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</row>
    <row r="168" spans="1:36" x14ac:dyDescent="0.2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x14ac:dyDescent="0.2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</row>
    <row r="170" spans="1:36" x14ac:dyDescent="0.2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</row>
    <row r="171" spans="1:36" x14ac:dyDescent="0.2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</row>
    <row r="172" spans="1:36" x14ac:dyDescent="0.2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</row>
    <row r="173" spans="1:36" x14ac:dyDescent="0.2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</row>
    <row r="174" spans="1:36" x14ac:dyDescent="0.2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</row>
    <row r="175" spans="1:36" x14ac:dyDescent="0.2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</row>
    <row r="176" spans="1:36" x14ac:dyDescent="0.2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</row>
    <row r="177" spans="1:36" x14ac:dyDescent="0.2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</row>
    <row r="178" spans="1:36" x14ac:dyDescent="0.2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</row>
    <row r="179" spans="1:36" x14ac:dyDescent="0.2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x14ac:dyDescent="0.2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</row>
    <row r="181" spans="1:36" x14ac:dyDescent="0.2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</row>
    <row r="182" spans="1:36" x14ac:dyDescent="0.2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</row>
    <row r="183" spans="1:36" x14ac:dyDescent="0.2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</row>
    <row r="184" spans="1:36" x14ac:dyDescent="0.2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</row>
    <row r="185" spans="1:36" x14ac:dyDescent="0.2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</row>
    <row r="186" spans="1:36" x14ac:dyDescent="0.2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</row>
    <row r="187" spans="1:36" x14ac:dyDescent="0.2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</row>
    <row r="188" spans="1:36" x14ac:dyDescent="0.2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</row>
    <row r="189" spans="1:36" x14ac:dyDescent="0.2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</row>
    <row r="190" spans="1:36" x14ac:dyDescent="0.2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x14ac:dyDescent="0.2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</row>
    <row r="192" spans="1:36" x14ac:dyDescent="0.2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</row>
    <row r="193" spans="1:36" x14ac:dyDescent="0.2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</row>
    <row r="194" spans="1:36" x14ac:dyDescent="0.2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</row>
    <row r="195" spans="1:36" x14ac:dyDescent="0.2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x14ac:dyDescent="0.2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</row>
    <row r="197" spans="1:36" x14ac:dyDescent="0.2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</row>
    <row r="198" spans="1:36" x14ac:dyDescent="0.2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</row>
    <row r="199" spans="1:36" x14ac:dyDescent="0.2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</row>
    <row r="200" spans="1:36" x14ac:dyDescent="0.2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</row>
    <row r="201" spans="1:36" x14ac:dyDescent="0.2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x14ac:dyDescent="0.2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</row>
    <row r="203" spans="1:36" x14ac:dyDescent="0.2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</row>
    <row r="204" spans="1:36" x14ac:dyDescent="0.2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</row>
    <row r="205" spans="1:36" x14ac:dyDescent="0.2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</row>
    <row r="206" spans="1:36" x14ac:dyDescent="0.2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</row>
    <row r="207" spans="1:36" x14ac:dyDescent="0.2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</row>
    <row r="208" spans="1:36" x14ac:dyDescent="0.2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</row>
    <row r="209" spans="1:36" x14ac:dyDescent="0.2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</row>
    <row r="210" spans="1:36" x14ac:dyDescent="0.2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</row>
    <row r="211" spans="1:36" x14ac:dyDescent="0.2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x14ac:dyDescent="0.2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x14ac:dyDescent="0.2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</row>
    <row r="214" spans="1:36" x14ac:dyDescent="0.2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</row>
    <row r="215" spans="1:36" x14ac:dyDescent="0.2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</row>
    <row r="216" spans="1:36" x14ac:dyDescent="0.2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</row>
    <row r="217" spans="1:36" x14ac:dyDescent="0.2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</row>
    <row r="218" spans="1:36" x14ac:dyDescent="0.2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</row>
    <row r="219" spans="1:36" x14ac:dyDescent="0.2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</row>
    <row r="220" spans="1:36" x14ac:dyDescent="0.2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</row>
    <row r="221" spans="1:36" x14ac:dyDescent="0.2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</row>
    <row r="222" spans="1:36" x14ac:dyDescent="0.2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</row>
    <row r="223" spans="1:36" x14ac:dyDescent="0.2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x14ac:dyDescent="0.2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</row>
    <row r="225" spans="1:36" x14ac:dyDescent="0.2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</row>
    <row r="226" spans="1:36" x14ac:dyDescent="0.2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</row>
    <row r="227" spans="1:36" x14ac:dyDescent="0.2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x14ac:dyDescent="0.2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</row>
    <row r="229" spans="1:36" x14ac:dyDescent="0.2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</row>
    <row r="230" spans="1:36" x14ac:dyDescent="0.2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</row>
    <row r="231" spans="1:36" x14ac:dyDescent="0.2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</row>
    <row r="232" spans="1:36" x14ac:dyDescent="0.2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</row>
    <row r="233" spans="1:36" x14ac:dyDescent="0.2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</row>
    <row r="234" spans="1:36" x14ac:dyDescent="0.2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x14ac:dyDescent="0.2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</row>
    <row r="236" spans="1:36" x14ac:dyDescent="0.2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</row>
    <row r="237" spans="1:36" x14ac:dyDescent="0.2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</row>
    <row r="238" spans="1:36" x14ac:dyDescent="0.2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</row>
    <row r="239" spans="1:36" x14ac:dyDescent="0.2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</row>
    <row r="240" spans="1:36" x14ac:dyDescent="0.2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</row>
    <row r="241" spans="1:36" x14ac:dyDescent="0.2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</row>
    <row r="242" spans="1:36" x14ac:dyDescent="0.2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</row>
    <row r="243" spans="1:36" x14ac:dyDescent="0.2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x14ac:dyDescent="0.2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</row>
    <row r="245" spans="1:36" x14ac:dyDescent="0.2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x14ac:dyDescent="0.2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</row>
    <row r="247" spans="1:36" x14ac:dyDescent="0.2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</row>
    <row r="248" spans="1:36" x14ac:dyDescent="0.2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</row>
    <row r="249" spans="1:36" x14ac:dyDescent="0.2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</row>
    <row r="250" spans="1:36" x14ac:dyDescent="0.2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</row>
    <row r="251" spans="1:36" x14ac:dyDescent="0.2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</row>
    <row r="252" spans="1:36" x14ac:dyDescent="0.2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</row>
    <row r="253" spans="1:36" x14ac:dyDescent="0.2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</row>
    <row r="254" spans="1:36" x14ac:dyDescent="0.2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</row>
    <row r="255" spans="1:36" x14ac:dyDescent="0.2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</row>
    <row r="256" spans="1:36" x14ac:dyDescent="0.2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</row>
    <row r="257" spans="1:36" x14ac:dyDescent="0.2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</row>
    <row r="258" spans="1:36" x14ac:dyDescent="0.2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</row>
    <row r="259" spans="1:36" x14ac:dyDescent="0.2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x14ac:dyDescent="0.2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</row>
    <row r="261" spans="1:36" x14ac:dyDescent="0.2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</row>
    <row r="262" spans="1:36" x14ac:dyDescent="0.2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</row>
    <row r="263" spans="1:36" x14ac:dyDescent="0.2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</row>
    <row r="264" spans="1:36" x14ac:dyDescent="0.2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</row>
    <row r="265" spans="1:36" x14ac:dyDescent="0.2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</row>
    <row r="266" spans="1:36" x14ac:dyDescent="0.2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</row>
    <row r="267" spans="1:36" x14ac:dyDescent="0.2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</row>
    <row r="268" spans="1:36" x14ac:dyDescent="0.2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</row>
    <row r="269" spans="1:36" x14ac:dyDescent="0.2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</row>
    <row r="270" spans="1:36" x14ac:dyDescent="0.2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</row>
    <row r="271" spans="1:36" x14ac:dyDescent="0.2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</row>
    <row r="272" spans="1:36" x14ac:dyDescent="0.2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</row>
    <row r="273" spans="1:36" x14ac:dyDescent="0.2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</row>
    <row r="274" spans="1:36" x14ac:dyDescent="0.2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</row>
    <row r="275" spans="1:36" x14ac:dyDescent="0.2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x14ac:dyDescent="0.2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</row>
    <row r="277" spans="1:36" x14ac:dyDescent="0.2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</row>
    <row r="278" spans="1:36" x14ac:dyDescent="0.2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</row>
    <row r="279" spans="1:36" x14ac:dyDescent="0.2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</row>
    <row r="280" spans="1:36" x14ac:dyDescent="0.2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</row>
    <row r="281" spans="1:36" x14ac:dyDescent="0.2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</row>
    <row r="282" spans="1:36" x14ac:dyDescent="0.2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</row>
    <row r="283" spans="1:36" x14ac:dyDescent="0.2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</row>
    <row r="284" spans="1:36" x14ac:dyDescent="0.2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</row>
    <row r="285" spans="1:36" x14ac:dyDescent="0.2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</row>
    <row r="286" spans="1:36" x14ac:dyDescent="0.2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</row>
    <row r="287" spans="1:36" x14ac:dyDescent="0.2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</row>
    <row r="288" spans="1:36" x14ac:dyDescent="0.2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</row>
    <row r="289" spans="1:36" x14ac:dyDescent="0.2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</row>
    <row r="290" spans="1:36" x14ac:dyDescent="0.2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</row>
    <row r="291" spans="1:36" x14ac:dyDescent="0.2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x14ac:dyDescent="0.2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</row>
    <row r="293" spans="1:36" x14ac:dyDescent="0.2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</row>
    <row r="294" spans="1:36" x14ac:dyDescent="0.2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</row>
    <row r="295" spans="1:36" x14ac:dyDescent="0.2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</row>
    <row r="296" spans="1:36" x14ac:dyDescent="0.2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</row>
    <row r="297" spans="1:36" x14ac:dyDescent="0.2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</row>
    <row r="298" spans="1:36" x14ac:dyDescent="0.2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</row>
    <row r="299" spans="1:36" x14ac:dyDescent="0.2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</row>
    <row r="300" spans="1:36" x14ac:dyDescent="0.2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</row>
    <row r="301" spans="1:36" x14ac:dyDescent="0.2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</row>
    <row r="302" spans="1:36" x14ac:dyDescent="0.2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</row>
    <row r="303" spans="1:36" x14ac:dyDescent="0.2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</row>
    <row r="304" spans="1:36" x14ac:dyDescent="0.2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</row>
    <row r="305" spans="1:36" x14ac:dyDescent="0.2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</row>
    <row r="306" spans="1:36" x14ac:dyDescent="0.2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</row>
    <row r="307" spans="1:36" x14ac:dyDescent="0.2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x14ac:dyDescent="0.2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</row>
    <row r="309" spans="1:36" x14ac:dyDescent="0.2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</row>
    <row r="310" spans="1:36" x14ac:dyDescent="0.2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</row>
    <row r="311" spans="1:36" x14ac:dyDescent="0.2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</row>
    <row r="312" spans="1:36" x14ac:dyDescent="0.2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</row>
    <row r="313" spans="1:36" x14ac:dyDescent="0.2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</row>
    <row r="314" spans="1:36" x14ac:dyDescent="0.2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</row>
    <row r="315" spans="1:36" x14ac:dyDescent="0.2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</row>
    <row r="316" spans="1:36" x14ac:dyDescent="0.2">
      <c r="A316" s="60"/>
      <c r="B316" s="60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/>
      <c r="AD316" s="60"/>
      <c r="AE316" s="60"/>
      <c r="AF316" s="60"/>
      <c r="AG316" s="60"/>
      <c r="AH316" s="60"/>
      <c r="AI316" s="60"/>
      <c r="AJ316" s="60"/>
    </row>
    <row r="317" spans="1:36" x14ac:dyDescent="0.2">
      <c r="A317" s="60"/>
      <c r="B317" s="60"/>
      <c r="C317" s="60"/>
      <c r="D317" s="60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0"/>
      <c r="AH317" s="60"/>
      <c r="AI317" s="60"/>
      <c r="AJ317" s="60"/>
    </row>
    <row r="318" spans="1:36" x14ac:dyDescent="0.2">
      <c r="A318" s="60"/>
      <c r="B318" s="60"/>
      <c r="C318" s="60"/>
      <c r="D318" s="60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</row>
    <row r="319" spans="1:36" x14ac:dyDescent="0.2">
      <c r="A319" s="60"/>
      <c r="B319" s="60"/>
      <c r="C319" s="60"/>
      <c r="D319" s="60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0"/>
      <c r="AH319" s="60"/>
      <c r="AI319" s="60"/>
      <c r="AJ319" s="60"/>
    </row>
    <row r="320" spans="1:36" x14ac:dyDescent="0.2">
      <c r="A320" s="60"/>
      <c r="B320" s="60"/>
      <c r="C320" s="60"/>
      <c r="D320" s="60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</row>
    <row r="321" spans="1:36" x14ac:dyDescent="0.2">
      <c r="A321" s="60"/>
      <c r="B321" s="60"/>
      <c r="C321" s="60"/>
      <c r="D321" s="60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</row>
    <row r="322" spans="1:36" x14ac:dyDescent="0.2">
      <c r="A322" s="60"/>
      <c r="B322" s="60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/>
      <c r="AD322" s="60"/>
      <c r="AE322" s="60"/>
      <c r="AF322" s="60"/>
      <c r="AG322" s="60"/>
      <c r="AH322" s="60"/>
      <c r="AI322" s="60"/>
      <c r="AJ322" s="60"/>
    </row>
    <row r="323" spans="1:36" x14ac:dyDescent="0.2">
      <c r="A323" s="60"/>
      <c r="B323" s="60"/>
      <c r="C323" s="60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x14ac:dyDescent="0.2">
      <c r="A324" s="60"/>
      <c r="B324" s="60"/>
      <c r="C324" s="60"/>
      <c r="D324" s="60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  <c r="AF324" s="60"/>
      <c r="AG324" s="60"/>
      <c r="AH324" s="60"/>
      <c r="AI324" s="60"/>
      <c r="AJ324" s="60"/>
    </row>
    <row r="325" spans="1:36" x14ac:dyDescent="0.2">
      <c r="A325" s="60"/>
      <c r="B325" s="60"/>
      <c r="C325" s="60"/>
      <c r="D325" s="60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0"/>
      <c r="AH325" s="60"/>
      <c r="AI325" s="60"/>
      <c r="AJ325" s="60"/>
    </row>
    <row r="326" spans="1:36" x14ac:dyDescent="0.2">
      <c r="A326" s="60"/>
      <c r="B326" s="60"/>
      <c r="C326" s="60"/>
      <c r="D326" s="60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  <c r="AB326" s="60"/>
      <c r="AC326" s="60"/>
      <c r="AD326" s="60"/>
      <c r="AE326" s="60"/>
      <c r="AF326" s="60"/>
      <c r="AG326" s="60"/>
      <c r="AH326" s="60"/>
      <c r="AI326" s="60"/>
      <c r="AJ326" s="60"/>
    </row>
    <row r="327" spans="1:36" x14ac:dyDescent="0.2">
      <c r="A327" s="60"/>
      <c r="B327" s="60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</row>
    <row r="328" spans="1:36" x14ac:dyDescent="0.2">
      <c r="A328" s="60"/>
      <c r="B328" s="60"/>
      <c r="C328" s="60"/>
      <c r="D328" s="60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  <c r="AF328" s="60"/>
      <c r="AG328" s="60"/>
      <c r="AH328" s="60"/>
      <c r="AI328" s="60"/>
      <c r="AJ328" s="60"/>
    </row>
    <row r="329" spans="1:36" x14ac:dyDescent="0.2">
      <c r="A329" s="60"/>
      <c r="B329" s="60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0"/>
      <c r="AH329" s="60"/>
      <c r="AI329" s="60"/>
      <c r="AJ329" s="60"/>
    </row>
    <row r="330" spans="1:36" x14ac:dyDescent="0.2">
      <c r="A330" s="60"/>
      <c r="B330" s="60"/>
      <c r="C330" s="60"/>
      <c r="D330" s="60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  <c r="AF330" s="60"/>
      <c r="AG330" s="60"/>
      <c r="AH330" s="60"/>
      <c r="AI330" s="60"/>
      <c r="AJ330" s="60"/>
    </row>
    <row r="331" spans="1:36" x14ac:dyDescent="0.2">
      <c r="A331" s="60"/>
      <c r="B331" s="60"/>
      <c r="C331" s="60"/>
      <c r="D331" s="60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</row>
    <row r="332" spans="1:36" x14ac:dyDescent="0.2">
      <c r="A332" s="60"/>
      <c r="B332" s="60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  <c r="AF332" s="60"/>
      <c r="AG332" s="60"/>
      <c r="AH332" s="60"/>
      <c r="AI332" s="60"/>
      <c r="AJ332" s="60"/>
    </row>
    <row r="333" spans="1:36" x14ac:dyDescent="0.2">
      <c r="A333" s="60"/>
      <c r="B333" s="60"/>
      <c r="C333" s="60"/>
      <c r="D333" s="60"/>
      <c r="E333" s="60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/>
      <c r="AD333" s="60"/>
      <c r="AE333" s="60"/>
      <c r="AF333" s="60"/>
      <c r="AG333" s="60"/>
      <c r="AH333" s="60"/>
      <c r="AI333" s="60"/>
      <c r="AJ333" s="60"/>
    </row>
    <row r="334" spans="1:36" x14ac:dyDescent="0.2">
      <c r="A334" s="60"/>
      <c r="B334" s="60"/>
      <c r="C334" s="60"/>
      <c r="D334" s="60"/>
      <c r="E334" s="60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  <c r="AB334" s="60"/>
      <c r="AC334" s="60"/>
      <c r="AD334" s="60"/>
      <c r="AE334" s="60"/>
      <c r="AF334" s="60"/>
      <c r="AG334" s="60"/>
      <c r="AH334" s="60"/>
      <c r="AI334" s="60"/>
      <c r="AJ334" s="60"/>
    </row>
    <row r="335" spans="1:36" x14ac:dyDescent="0.2">
      <c r="A335" s="60"/>
      <c r="B335" s="60"/>
      <c r="C335" s="60"/>
      <c r="D335" s="60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0"/>
      <c r="AH335" s="60"/>
      <c r="AI335" s="60"/>
      <c r="AJ335" s="60"/>
    </row>
    <row r="336" spans="1:36" x14ac:dyDescent="0.2">
      <c r="A336" s="60"/>
      <c r="B336" s="60"/>
      <c r="C336" s="60"/>
      <c r="D336" s="60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  <c r="AF336" s="60"/>
      <c r="AG336" s="60"/>
      <c r="AH336" s="60"/>
      <c r="AI336" s="60"/>
      <c r="AJ336" s="60"/>
    </row>
    <row r="337" spans="1:36" x14ac:dyDescent="0.2">
      <c r="A337" s="60"/>
      <c r="B337" s="60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</row>
    <row r="338" spans="1:36" x14ac:dyDescent="0.2">
      <c r="A338" s="60"/>
      <c r="B338" s="60"/>
      <c r="C338" s="60"/>
      <c r="D338" s="60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  <c r="AF338" s="60"/>
      <c r="AG338" s="60"/>
      <c r="AH338" s="60"/>
      <c r="AI338" s="60"/>
      <c r="AJ338" s="60"/>
    </row>
    <row r="339" spans="1:36" x14ac:dyDescent="0.2">
      <c r="A339" s="60"/>
      <c r="B339" s="60"/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x14ac:dyDescent="0.2">
      <c r="A340" s="60"/>
      <c r="B340" s="60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  <c r="AF340" s="60"/>
      <c r="AG340" s="60"/>
      <c r="AH340" s="60"/>
      <c r="AI340" s="60"/>
      <c r="AJ340" s="60"/>
    </row>
    <row r="341" spans="1:36" x14ac:dyDescent="0.2">
      <c r="A341" s="60"/>
      <c r="B341" s="60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0"/>
      <c r="AH341" s="60"/>
      <c r="AI341" s="60"/>
      <c r="AJ341" s="60"/>
    </row>
    <row r="342" spans="1:36" x14ac:dyDescent="0.2">
      <c r="A342" s="60"/>
      <c r="B342" s="60"/>
      <c r="C342" s="60"/>
      <c r="D342" s="60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</row>
    <row r="343" spans="1:36" x14ac:dyDescent="0.2">
      <c r="A343" s="60"/>
      <c r="B343" s="60"/>
      <c r="C343" s="60"/>
      <c r="D343" s="60"/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  <c r="AF343" s="60"/>
      <c r="AG343" s="60"/>
      <c r="AH343" s="60"/>
      <c r="AI343" s="60"/>
      <c r="AJ343" s="60"/>
    </row>
    <row r="344" spans="1:36" x14ac:dyDescent="0.2">
      <c r="A344" s="60"/>
      <c r="B344" s="60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  <c r="AF344" s="60"/>
      <c r="AG344" s="60"/>
      <c r="AH344" s="60"/>
      <c r="AI344" s="60"/>
      <c r="AJ344" s="60"/>
    </row>
    <row r="345" spans="1:36" x14ac:dyDescent="0.2">
      <c r="A345" s="60"/>
      <c r="B345" s="60"/>
      <c r="C345" s="60"/>
      <c r="D345" s="60"/>
      <c r="E345" s="60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/>
      <c r="AD345" s="60"/>
      <c r="AE345" s="60"/>
      <c r="AF345" s="60"/>
      <c r="AG345" s="60"/>
      <c r="AH345" s="60"/>
      <c r="AI345" s="60"/>
      <c r="AJ345" s="60"/>
    </row>
    <row r="346" spans="1:36" x14ac:dyDescent="0.2">
      <c r="A346" s="60"/>
      <c r="B346" s="60"/>
      <c r="C346" s="60"/>
      <c r="D346" s="60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/>
      <c r="AD346" s="60"/>
      <c r="AE346" s="60"/>
      <c r="AF346" s="60"/>
      <c r="AG346" s="60"/>
      <c r="AH346" s="60"/>
      <c r="AI346" s="60"/>
      <c r="AJ346" s="60"/>
    </row>
    <row r="347" spans="1:36" x14ac:dyDescent="0.2">
      <c r="A347" s="60"/>
      <c r="B347" s="60"/>
      <c r="C347" s="60"/>
      <c r="D347" s="60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0"/>
      <c r="AH347" s="60"/>
      <c r="AI347" s="60"/>
      <c r="AJ347" s="60"/>
    </row>
    <row r="348" spans="1:36" x14ac:dyDescent="0.2">
      <c r="A348" s="60"/>
      <c r="B348" s="60"/>
      <c r="C348" s="60"/>
      <c r="D348" s="60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/>
      <c r="AD348" s="60"/>
      <c r="AE348" s="60"/>
      <c r="AF348" s="60"/>
      <c r="AG348" s="60"/>
      <c r="AH348" s="60"/>
      <c r="AI348" s="60"/>
      <c r="AJ348" s="60"/>
    </row>
    <row r="349" spans="1:36" x14ac:dyDescent="0.2">
      <c r="A349" s="60"/>
      <c r="B349" s="60"/>
      <c r="C349" s="60"/>
      <c r="D349" s="60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0"/>
      <c r="AH349" s="60"/>
      <c r="AI349" s="60"/>
      <c r="AJ349" s="60"/>
    </row>
    <row r="350" spans="1:36" x14ac:dyDescent="0.2">
      <c r="A350" s="60"/>
      <c r="B350" s="60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/>
      <c r="AD350" s="60"/>
      <c r="AE350" s="60"/>
      <c r="AF350" s="60"/>
      <c r="AG350" s="60"/>
      <c r="AH350" s="60"/>
      <c r="AI350" s="60"/>
      <c r="AJ350" s="60"/>
    </row>
    <row r="351" spans="1:36" x14ac:dyDescent="0.2">
      <c r="A351" s="60"/>
      <c r="B351" s="60"/>
      <c r="C351" s="60"/>
      <c r="D351" s="60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0"/>
      <c r="AH351" s="60"/>
      <c r="AI351" s="60"/>
      <c r="AJ351" s="60"/>
    </row>
    <row r="352" spans="1:36" x14ac:dyDescent="0.2">
      <c r="A352" s="60"/>
      <c r="B352" s="60"/>
      <c r="C352" s="60"/>
      <c r="D352" s="60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</row>
    <row r="353" spans="1:36" x14ac:dyDescent="0.2">
      <c r="A353" s="60"/>
      <c r="B353" s="60"/>
      <c r="C353" s="60"/>
      <c r="D353" s="60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0"/>
      <c r="AH353" s="60"/>
      <c r="AI353" s="60"/>
      <c r="AJ353" s="60"/>
    </row>
    <row r="354" spans="1:36" x14ac:dyDescent="0.2">
      <c r="A354" s="60"/>
      <c r="B354" s="60"/>
      <c r="C354" s="60"/>
      <c r="D354" s="60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/>
      <c r="AD354" s="60"/>
      <c r="AE354" s="60"/>
      <c r="AF354" s="60"/>
      <c r="AG354" s="60"/>
      <c r="AH354" s="60"/>
      <c r="AI354" s="60"/>
      <c r="AJ354" s="60"/>
    </row>
    <row r="355" spans="1:36" x14ac:dyDescent="0.2">
      <c r="A355" s="60"/>
      <c r="B355" s="60"/>
      <c r="C355" s="60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</row>
    <row r="356" spans="1:36" x14ac:dyDescent="0.2">
      <c r="A356" s="60"/>
      <c r="B356" s="60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  <c r="AB356" s="60"/>
      <c r="AC356" s="60"/>
      <c r="AD356" s="60"/>
      <c r="AE356" s="60"/>
      <c r="AF356" s="60"/>
      <c r="AG356" s="60"/>
      <c r="AH356" s="60"/>
      <c r="AI356" s="60"/>
      <c r="AJ356" s="60"/>
    </row>
    <row r="357" spans="1:36" x14ac:dyDescent="0.2">
      <c r="A357" s="60"/>
      <c r="B357" s="60"/>
      <c r="C357" s="60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</row>
    <row r="358" spans="1:36" x14ac:dyDescent="0.2">
      <c r="A358" s="60"/>
      <c r="B358" s="60"/>
      <c r="C358" s="60"/>
      <c r="D358" s="60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</row>
    <row r="359" spans="1:36" x14ac:dyDescent="0.2">
      <c r="A359" s="60"/>
      <c r="B359" s="60"/>
      <c r="C359" s="60"/>
      <c r="D359" s="60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</row>
    <row r="360" spans="1:36" x14ac:dyDescent="0.2">
      <c r="A360" s="60"/>
      <c r="B360" s="60"/>
      <c r="C360" s="60"/>
      <c r="D360" s="60"/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</row>
    <row r="361" spans="1:36" x14ac:dyDescent="0.2">
      <c r="A361" s="60"/>
      <c r="B361" s="60"/>
      <c r="C361" s="60"/>
      <c r="D361" s="60"/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0"/>
      <c r="AH361" s="60"/>
      <c r="AI361" s="60"/>
      <c r="AJ361" s="60"/>
    </row>
    <row r="362" spans="1:36" x14ac:dyDescent="0.2">
      <c r="A362" s="60"/>
      <c r="B362" s="60"/>
      <c r="C362" s="60"/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</row>
    <row r="363" spans="1:36" x14ac:dyDescent="0.2">
      <c r="A363" s="60"/>
      <c r="B363" s="60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</row>
    <row r="364" spans="1:36" x14ac:dyDescent="0.2">
      <c r="A364" s="60"/>
      <c r="B364" s="60"/>
      <c r="C364" s="60"/>
      <c r="D364" s="60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</row>
    <row r="365" spans="1:36" x14ac:dyDescent="0.2">
      <c r="A365" s="60"/>
      <c r="B365" s="60"/>
      <c r="C365" s="60"/>
      <c r="D365" s="60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</row>
    <row r="366" spans="1:36" x14ac:dyDescent="0.2">
      <c r="A366" s="60"/>
      <c r="B366" s="60"/>
      <c r="C366" s="60"/>
      <c r="D366" s="60"/>
      <c r="E366" s="60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  <c r="AB366" s="60"/>
      <c r="AC366" s="60"/>
      <c r="AD366" s="60"/>
      <c r="AE366" s="60"/>
      <c r="AF366" s="60"/>
      <c r="AG366" s="60"/>
      <c r="AH366" s="60"/>
      <c r="AI366" s="60"/>
      <c r="AJ366" s="60"/>
    </row>
    <row r="367" spans="1:36" x14ac:dyDescent="0.2">
      <c r="A367" s="60"/>
      <c r="B367" s="60"/>
      <c r="C367" s="60"/>
      <c r="D367" s="60"/>
      <c r="E367" s="60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/>
      <c r="AD367" s="60"/>
      <c r="AE367" s="60"/>
      <c r="AF367" s="60"/>
      <c r="AG367" s="60"/>
      <c r="AH367" s="60"/>
      <c r="AI367" s="60"/>
      <c r="AJ367" s="60"/>
    </row>
    <row r="368" spans="1:36" x14ac:dyDescent="0.2">
      <c r="A368" s="60"/>
      <c r="B368" s="60"/>
      <c r="C368" s="60"/>
      <c r="D368" s="60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/>
      <c r="AD368" s="60"/>
      <c r="AE368" s="60"/>
      <c r="AF368" s="60"/>
      <c r="AG368" s="60"/>
      <c r="AH368" s="60"/>
      <c r="AI368" s="60"/>
      <c r="AJ368" s="60"/>
    </row>
    <row r="369" spans="1:36" x14ac:dyDescent="0.2">
      <c r="A369" s="60"/>
      <c r="B369" s="60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0"/>
      <c r="AH369" s="60"/>
      <c r="AI369" s="60"/>
      <c r="AJ369" s="60"/>
    </row>
    <row r="370" spans="1:36" x14ac:dyDescent="0.2">
      <c r="A370" s="60"/>
      <c r="B370" s="60"/>
      <c r="C370" s="60"/>
      <c r="D370" s="60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/>
      <c r="AD370" s="60"/>
      <c r="AE370" s="60"/>
      <c r="AF370" s="60"/>
      <c r="AG370" s="60"/>
      <c r="AH370" s="60"/>
      <c r="AI370" s="60"/>
      <c r="AJ370" s="60"/>
    </row>
    <row r="371" spans="1:36" x14ac:dyDescent="0.2">
      <c r="A371" s="60"/>
      <c r="B371" s="60"/>
      <c r="C371" s="60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x14ac:dyDescent="0.2">
      <c r="A372" s="60"/>
      <c r="B372" s="60"/>
      <c r="C372" s="60"/>
      <c r="D372" s="60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</row>
    <row r="373" spans="1:36" x14ac:dyDescent="0.2">
      <c r="A373" s="60"/>
      <c r="B373" s="60"/>
      <c r="C373" s="60"/>
      <c r="D373" s="60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0"/>
      <c r="AH373" s="60"/>
      <c r="AI373" s="60"/>
      <c r="AJ373" s="60"/>
    </row>
    <row r="374" spans="1:36" x14ac:dyDescent="0.2">
      <c r="A374" s="60"/>
      <c r="B374" s="60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/>
      <c r="AD374" s="60"/>
      <c r="AE374" s="60"/>
      <c r="AF374" s="60"/>
      <c r="AG374" s="60"/>
      <c r="AH374" s="60"/>
      <c r="AI374" s="60"/>
      <c r="AJ374" s="60"/>
    </row>
    <row r="375" spans="1:36" x14ac:dyDescent="0.2">
      <c r="A375" s="60"/>
      <c r="B375" s="60"/>
      <c r="C375" s="60"/>
      <c r="D375" s="60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</row>
    <row r="376" spans="1:36" x14ac:dyDescent="0.2">
      <c r="A376" s="60"/>
      <c r="B376" s="60"/>
      <c r="C376" s="60"/>
      <c r="D376" s="60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/>
      <c r="AD376" s="60"/>
      <c r="AE376" s="60"/>
      <c r="AF376" s="60"/>
      <c r="AG376" s="60"/>
      <c r="AH376" s="60"/>
      <c r="AI376" s="60"/>
      <c r="AJ376" s="60"/>
    </row>
    <row r="377" spans="1:36" x14ac:dyDescent="0.2">
      <c r="A377" s="60"/>
      <c r="B377" s="60"/>
      <c r="C377" s="60"/>
      <c r="D377" s="60"/>
      <c r="E377" s="60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  <c r="AB377" s="60"/>
      <c r="AC377" s="60"/>
      <c r="AD377" s="60"/>
      <c r="AE377" s="60"/>
      <c r="AF377" s="60"/>
      <c r="AG377" s="60"/>
      <c r="AH377" s="60"/>
      <c r="AI377" s="60"/>
      <c r="AJ377" s="60"/>
    </row>
    <row r="378" spans="1:36" x14ac:dyDescent="0.2">
      <c r="A378" s="60"/>
      <c r="B378" s="60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  <c r="AA378" s="60"/>
      <c r="AB378" s="60"/>
      <c r="AC378" s="60"/>
      <c r="AD378" s="60"/>
      <c r="AE378" s="60"/>
      <c r="AF378" s="60"/>
      <c r="AG378" s="60"/>
      <c r="AH378" s="60"/>
      <c r="AI378" s="60"/>
      <c r="AJ378" s="60"/>
    </row>
    <row r="379" spans="1:36" x14ac:dyDescent="0.2">
      <c r="A379" s="60"/>
      <c r="B379" s="60"/>
      <c r="C379" s="60"/>
      <c r="D379" s="60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</row>
    <row r="380" spans="1:36" x14ac:dyDescent="0.2">
      <c r="A380" s="60"/>
      <c r="B380" s="60"/>
      <c r="C380" s="60"/>
      <c r="D380" s="60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/>
      <c r="AD380" s="60"/>
      <c r="AE380" s="60"/>
      <c r="AF380" s="60"/>
      <c r="AG380" s="60"/>
      <c r="AH380" s="60"/>
      <c r="AI380" s="60"/>
      <c r="AJ380" s="60"/>
    </row>
    <row r="381" spans="1:36" x14ac:dyDescent="0.2">
      <c r="A381" s="60"/>
      <c r="B381" s="60"/>
      <c r="C381" s="60"/>
      <c r="D381" s="60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/>
      <c r="AD381" s="60"/>
      <c r="AE381" s="60"/>
      <c r="AF381" s="60"/>
      <c r="AG381" s="60"/>
      <c r="AH381" s="60"/>
      <c r="AI381" s="60"/>
      <c r="AJ381" s="60"/>
    </row>
    <row r="382" spans="1:36" x14ac:dyDescent="0.2">
      <c r="A382" s="60"/>
      <c r="B382" s="60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/>
      <c r="AD382" s="60"/>
      <c r="AE382" s="60"/>
      <c r="AF382" s="60"/>
      <c r="AG382" s="60"/>
      <c r="AH382" s="60"/>
      <c r="AI382" s="60"/>
      <c r="AJ382" s="60"/>
    </row>
    <row r="383" spans="1:36" x14ac:dyDescent="0.2">
      <c r="A383" s="60"/>
      <c r="B383" s="60"/>
      <c r="C383" s="60"/>
      <c r="D383" s="60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</row>
    <row r="384" spans="1:36" x14ac:dyDescent="0.2">
      <c r="A384" s="60"/>
      <c r="B384" s="60"/>
      <c r="C384" s="60"/>
      <c r="D384" s="60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/>
      <c r="AD384" s="60"/>
      <c r="AE384" s="60"/>
      <c r="AF384" s="60"/>
      <c r="AG384" s="60"/>
      <c r="AH384" s="60"/>
      <c r="AI384" s="60"/>
      <c r="AJ384" s="60"/>
    </row>
    <row r="385" spans="1:36" x14ac:dyDescent="0.2">
      <c r="A385" s="60"/>
      <c r="B385" s="60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/>
      <c r="AD385" s="60"/>
      <c r="AE385" s="60"/>
      <c r="AF385" s="60"/>
      <c r="AG385" s="60"/>
      <c r="AH385" s="60"/>
      <c r="AI385" s="60"/>
      <c r="AJ385" s="60"/>
    </row>
    <row r="386" spans="1:36" x14ac:dyDescent="0.2">
      <c r="A386" s="60"/>
      <c r="B386" s="60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</row>
    <row r="387" spans="1:36" x14ac:dyDescent="0.2">
      <c r="A387" s="60"/>
      <c r="B387" s="60"/>
      <c r="C387" s="60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x14ac:dyDescent="0.2">
      <c r="A388" s="60"/>
      <c r="B388" s="60"/>
      <c r="C388" s="60"/>
      <c r="D388" s="60"/>
      <c r="E388" s="60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  <c r="AB388" s="60"/>
      <c r="AC388" s="60"/>
      <c r="AD388" s="60"/>
      <c r="AE388" s="60"/>
      <c r="AF388" s="60"/>
      <c r="AG388" s="60"/>
      <c r="AH388" s="60"/>
      <c r="AI388" s="60"/>
      <c r="AJ388" s="60"/>
    </row>
    <row r="389" spans="1:36" x14ac:dyDescent="0.2">
      <c r="A389" s="60"/>
      <c r="B389" s="60"/>
      <c r="C389" s="60"/>
      <c r="D389" s="60"/>
      <c r="E389" s="60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  <c r="AB389" s="60"/>
      <c r="AC389" s="60"/>
      <c r="AD389" s="60"/>
      <c r="AE389" s="60"/>
      <c r="AF389" s="60"/>
      <c r="AG389" s="60"/>
      <c r="AH389" s="60"/>
      <c r="AI389" s="60"/>
      <c r="AJ389" s="60"/>
    </row>
    <row r="390" spans="1:36" x14ac:dyDescent="0.2">
      <c r="A390" s="60"/>
      <c r="B390" s="60"/>
      <c r="C390" s="60"/>
      <c r="D390" s="60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/>
      <c r="AD390" s="60"/>
      <c r="AE390" s="60"/>
      <c r="AF390" s="60"/>
      <c r="AG390" s="60"/>
      <c r="AH390" s="60"/>
      <c r="AI390" s="60"/>
      <c r="AJ390" s="60"/>
    </row>
    <row r="391" spans="1:36" x14ac:dyDescent="0.2">
      <c r="A391" s="60"/>
      <c r="B391" s="60"/>
      <c r="C391" s="60"/>
      <c r="D391" s="60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/>
      <c r="AD391" s="60"/>
      <c r="AE391" s="60"/>
      <c r="AF391" s="60"/>
      <c r="AG391" s="60"/>
      <c r="AH391" s="60"/>
      <c r="AI391" s="60"/>
      <c r="AJ391" s="60"/>
    </row>
    <row r="392" spans="1:36" x14ac:dyDescent="0.2">
      <c r="A392" s="60"/>
      <c r="B392" s="60"/>
      <c r="C392" s="60"/>
      <c r="D392" s="60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</row>
    <row r="393" spans="1:36" x14ac:dyDescent="0.2">
      <c r="A393" s="60"/>
      <c r="B393" s="60"/>
      <c r="C393" s="60"/>
      <c r="D393" s="60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/>
      <c r="AD393" s="60"/>
      <c r="AE393" s="60"/>
      <c r="AF393" s="60"/>
      <c r="AG393" s="60"/>
      <c r="AH393" s="60"/>
      <c r="AI393" s="60"/>
      <c r="AJ393" s="60"/>
    </row>
    <row r="394" spans="1:36" x14ac:dyDescent="0.2">
      <c r="A394" s="60"/>
      <c r="B394" s="60"/>
      <c r="C394" s="60"/>
      <c r="D394" s="60"/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  <c r="AB394" s="60"/>
      <c r="AC394" s="60"/>
      <c r="AD394" s="60"/>
      <c r="AE394" s="60"/>
      <c r="AF394" s="60"/>
      <c r="AG394" s="60"/>
      <c r="AH394" s="60"/>
      <c r="AI394" s="60"/>
      <c r="AJ394" s="60"/>
    </row>
    <row r="395" spans="1:36" x14ac:dyDescent="0.2">
      <c r="A395" s="60"/>
      <c r="B395" s="60"/>
      <c r="C395" s="60"/>
      <c r="D395" s="60"/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  <c r="AB395" s="60"/>
      <c r="AC395" s="60"/>
      <c r="AD395" s="60"/>
      <c r="AE395" s="60"/>
      <c r="AF395" s="60"/>
      <c r="AG395" s="60"/>
      <c r="AH395" s="60"/>
      <c r="AI395" s="60"/>
      <c r="AJ395" s="60"/>
    </row>
    <row r="396" spans="1:36" x14ac:dyDescent="0.2">
      <c r="A396" s="60"/>
      <c r="B396" s="60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</row>
    <row r="397" spans="1:36" x14ac:dyDescent="0.2">
      <c r="A397" s="60"/>
      <c r="B397" s="60"/>
      <c r="C397" s="60"/>
      <c r="D397" s="60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/>
      <c r="AD397" s="60"/>
      <c r="AE397" s="60"/>
      <c r="AF397" s="60"/>
      <c r="AG397" s="60"/>
      <c r="AH397" s="60"/>
      <c r="AI397" s="60"/>
      <c r="AJ397" s="60"/>
    </row>
    <row r="398" spans="1:36" x14ac:dyDescent="0.2">
      <c r="A398" s="60"/>
      <c r="B398" s="60"/>
      <c r="C398" s="60"/>
      <c r="D398" s="60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</row>
    <row r="399" spans="1:36" x14ac:dyDescent="0.2">
      <c r="A399" s="60"/>
      <c r="B399" s="60"/>
      <c r="C399" s="60"/>
      <c r="D399" s="60"/>
      <c r="E399" s="60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  <c r="AB399" s="60"/>
      <c r="AC399" s="60"/>
      <c r="AD399" s="60"/>
      <c r="AE399" s="60"/>
      <c r="AF399" s="60"/>
      <c r="AG399" s="60"/>
      <c r="AH399" s="60"/>
      <c r="AI399" s="60"/>
      <c r="AJ399" s="60"/>
    </row>
    <row r="400" spans="1:36" x14ac:dyDescent="0.2">
      <c r="A400" s="60"/>
      <c r="B400" s="60"/>
      <c r="C400" s="60"/>
      <c r="D400" s="60"/>
      <c r="E400" s="60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60"/>
      <c r="AF400" s="60"/>
      <c r="AG400" s="60"/>
      <c r="AH400" s="60"/>
      <c r="AI400" s="60"/>
      <c r="AJ400" s="60"/>
    </row>
    <row r="401" spans="1:36" x14ac:dyDescent="0.2">
      <c r="A401" s="60"/>
      <c r="B401" s="60"/>
      <c r="C401" s="60"/>
      <c r="D401" s="60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/>
      <c r="AD401" s="60"/>
      <c r="AE401" s="60"/>
      <c r="AF401" s="60"/>
      <c r="AG401" s="60"/>
      <c r="AH401" s="60"/>
      <c r="AI401" s="60"/>
      <c r="AJ401" s="60"/>
    </row>
    <row r="402" spans="1:36" x14ac:dyDescent="0.2">
      <c r="A402" s="60"/>
      <c r="B402" s="60"/>
      <c r="C402" s="60"/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/>
      <c r="AD402" s="60"/>
      <c r="AE402" s="60"/>
      <c r="AF402" s="60"/>
      <c r="AG402" s="60"/>
      <c r="AH402" s="60"/>
      <c r="AI402" s="60"/>
      <c r="AJ402" s="60"/>
    </row>
    <row r="403" spans="1:36" x14ac:dyDescent="0.2">
      <c r="A403" s="60"/>
      <c r="B403" s="60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x14ac:dyDescent="0.2">
      <c r="A404" s="60"/>
      <c r="B404" s="60"/>
      <c r="C404" s="60"/>
      <c r="D404" s="60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/>
      <c r="AD404" s="60"/>
      <c r="AE404" s="60"/>
      <c r="AF404" s="60"/>
      <c r="AG404" s="60"/>
      <c r="AH404" s="60"/>
      <c r="AI404" s="60"/>
      <c r="AJ404" s="60"/>
    </row>
    <row r="405" spans="1:36" x14ac:dyDescent="0.2">
      <c r="A405" s="60"/>
      <c r="B405" s="60"/>
      <c r="C405" s="60"/>
      <c r="D405" s="60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/>
      <c r="AD405" s="60"/>
      <c r="AE405" s="60"/>
      <c r="AF405" s="60"/>
      <c r="AG405" s="60"/>
      <c r="AH405" s="60"/>
      <c r="AI405" s="60"/>
      <c r="AJ405" s="60"/>
    </row>
    <row r="406" spans="1:36" x14ac:dyDescent="0.2">
      <c r="A406" s="60"/>
      <c r="B406" s="60"/>
      <c r="C406" s="60"/>
      <c r="D406" s="60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/>
      <c r="AD406" s="60"/>
      <c r="AE406" s="60"/>
      <c r="AF406" s="60"/>
      <c r="AG406" s="60"/>
      <c r="AH406" s="60"/>
      <c r="AI406" s="60"/>
      <c r="AJ406" s="60"/>
    </row>
    <row r="407" spans="1:36" x14ac:dyDescent="0.2">
      <c r="A407" s="60"/>
      <c r="B407" s="60"/>
      <c r="C407" s="60"/>
      <c r="D407" s="60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</row>
    <row r="408" spans="1:36" x14ac:dyDescent="0.2">
      <c r="A408" s="60"/>
      <c r="B408" s="60"/>
      <c r="C408" s="60"/>
      <c r="D408" s="60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/>
      <c r="AD408" s="60"/>
      <c r="AE408" s="60"/>
      <c r="AF408" s="60"/>
      <c r="AG408" s="60"/>
      <c r="AH408" s="60"/>
      <c r="AI408" s="60"/>
      <c r="AJ408" s="60"/>
    </row>
    <row r="409" spans="1:36" x14ac:dyDescent="0.2">
      <c r="A409" s="60"/>
      <c r="B409" s="60"/>
      <c r="C409" s="60"/>
      <c r="D409" s="60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/>
      <c r="AD409" s="60"/>
      <c r="AE409" s="60"/>
      <c r="AF409" s="60"/>
      <c r="AG409" s="60"/>
      <c r="AH409" s="60"/>
      <c r="AI409" s="60"/>
      <c r="AJ409" s="60"/>
    </row>
    <row r="410" spans="1:36" x14ac:dyDescent="0.2">
      <c r="A410" s="60"/>
      <c r="B410" s="60"/>
      <c r="C410" s="60"/>
      <c r="D410" s="60"/>
      <c r="E410" s="60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  <c r="AB410" s="60"/>
      <c r="AC410" s="60"/>
      <c r="AD410" s="60"/>
      <c r="AE410" s="60"/>
      <c r="AF410" s="60"/>
      <c r="AG410" s="60"/>
      <c r="AH410" s="60"/>
      <c r="AI410" s="60"/>
      <c r="AJ410" s="60"/>
    </row>
    <row r="411" spans="1:36" x14ac:dyDescent="0.2">
      <c r="A411" s="60"/>
      <c r="B411" s="60"/>
      <c r="C411" s="60"/>
      <c r="D411" s="60"/>
      <c r="E411" s="60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  <c r="AA411" s="60"/>
      <c r="AB411" s="60"/>
      <c r="AC411" s="60"/>
      <c r="AD411" s="60"/>
      <c r="AE411" s="60"/>
      <c r="AF411" s="60"/>
      <c r="AG411" s="60"/>
      <c r="AH411" s="60"/>
      <c r="AI411" s="60"/>
      <c r="AJ411" s="60"/>
    </row>
    <row r="412" spans="1:36" x14ac:dyDescent="0.2">
      <c r="A412" s="60"/>
      <c r="B412" s="60"/>
      <c r="C412" s="60"/>
      <c r="D412" s="60"/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  <c r="AB412" s="60"/>
      <c r="AC412" s="60"/>
      <c r="AD412" s="60"/>
      <c r="AE412" s="60"/>
      <c r="AF412" s="60"/>
      <c r="AG412" s="60"/>
      <c r="AH412" s="60"/>
      <c r="AI412" s="60"/>
      <c r="AJ412" s="60"/>
    </row>
    <row r="413" spans="1:36" x14ac:dyDescent="0.2">
      <c r="A413" s="60"/>
      <c r="B413" s="60"/>
      <c r="C413" s="60"/>
      <c r="D413" s="60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/>
      <c r="AD413" s="60"/>
      <c r="AE413" s="60"/>
      <c r="AF413" s="60"/>
      <c r="AG413" s="60"/>
      <c r="AH413" s="60"/>
      <c r="AI413" s="60"/>
      <c r="AJ413" s="60"/>
    </row>
    <row r="414" spans="1:36" x14ac:dyDescent="0.2">
      <c r="A414" s="60"/>
      <c r="B414" s="60"/>
      <c r="C414" s="60"/>
      <c r="D414" s="60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/>
      <c r="AD414" s="60"/>
      <c r="AE414" s="60"/>
      <c r="AF414" s="60"/>
      <c r="AG414" s="60"/>
      <c r="AH414" s="60"/>
      <c r="AI414" s="60"/>
      <c r="AJ414" s="60"/>
    </row>
    <row r="415" spans="1:36" x14ac:dyDescent="0.2">
      <c r="A415" s="60"/>
      <c r="B415" s="60"/>
      <c r="C415" s="60"/>
      <c r="D415" s="60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/>
      <c r="AD415" s="60"/>
      <c r="AE415" s="60"/>
      <c r="AF415" s="60"/>
      <c r="AG415" s="60"/>
      <c r="AH415" s="60"/>
      <c r="AI415" s="60"/>
      <c r="AJ415" s="60"/>
    </row>
    <row r="416" spans="1:36" x14ac:dyDescent="0.2">
      <c r="A416" s="60"/>
      <c r="B416" s="60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</row>
    <row r="417" spans="1:36" x14ac:dyDescent="0.2">
      <c r="A417" s="60"/>
      <c r="B417" s="60"/>
      <c r="C417" s="60"/>
      <c r="D417" s="60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/>
      <c r="AD417" s="60"/>
      <c r="AE417" s="60"/>
      <c r="AF417" s="60"/>
      <c r="AG417" s="60"/>
      <c r="AH417" s="60"/>
      <c r="AI417" s="60"/>
      <c r="AJ417" s="60"/>
    </row>
    <row r="418" spans="1:36" x14ac:dyDescent="0.2">
      <c r="A418" s="60"/>
      <c r="B418" s="60"/>
      <c r="C418" s="60"/>
      <c r="D418" s="60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</row>
    <row r="419" spans="1:36" x14ac:dyDescent="0.2">
      <c r="A419" s="60"/>
      <c r="B419" s="60"/>
      <c r="C419" s="60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x14ac:dyDescent="0.2">
      <c r="A420" s="60"/>
      <c r="B420" s="60"/>
      <c r="C420" s="60"/>
      <c r="D420" s="60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  <c r="AA420" s="60"/>
      <c r="AB420" s="60"/>
      <c r="AC420" s="60"/>
      <c r="AD420" s="60"/>
      <c r="AE420" s="60"/>
      <c r="AF420" s="60"/>
      <c r="AG420" s="60"/>
      <c r="AH420" s="60"/>
      <c r="AI420" s="60"/>
      <c r="AJ420" s="60"/>
    </row>
    <row r="421" spans="1:36" x14ac:dyDescent="0.2">
      <c r="A421" s="60"/>
      <c r="B421" s="60"/>
      <c r="C421" s="60"/>
      <c r="D421" s="60"/>
      <c r="E421" s="60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  <c r="AB421" s="60"/>
      <c r="AC421" s="60"/>
      <c r="AD421" s="60"/>
      <c r="AE421" s="60"/>
      <c r="AF421" s="60"/>
      <c r="AG421" s="60"/>
      <c r="AH421" s="60"/>
      <c r="AI421" s="60"/>
      <c r="AJ421" s="60"/>
    </row>
    <row r="422" spans="1:36" x14ac:dyDescent="0.2">
      <c r="A422" s="60"/>
      <c r="B422" s="60"/>
      <c r="C422" s="60"/>
      <c r="D422" s="60"/>
      <c r="E422" s="60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  <c r="AA422" s="60"/>
      <c r="AB422" s="60"/>
      <c r="AC422" s="60"/>
      <c r="AD422" s="60"/>
      <c r="AE422" s="60"/>
      <c r="AF422" s="60"/>
      <c r="AG422" s="60"/>
      <c r="AH422" s="60"/>
      <c r="AI422" s="60"/>
      <c r="AJ422" s="60"/>
    </row>
    <row r="423" spans="1:36" x14ac:dyDescent="0.2">
      <c r="A423" s="60"/>
      <c r="B423" s="60"/>
      <c r="C423" s="60"/>
      <c r="D423" s="60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/>
      <c r="AD423" s="60"/>
      <c r="AE423" s="60"/>
      <c r="AF423" s="60"/>
      <c r="AG423" s="60"/>
      <c r="AH423" s="60"/>
      <c r="AI423" s="60"/>
      <c r="AJ423" s="60"/>
    </row>
    <row r="424" spans="1:36" x14ac:dyDescent="0.2">
      <c r="A424" s="60"/>
      <c r="B424" s="60"/>
      <c r="C424" s="60"/>
      <c r="D424" s="60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  <c r="AA424" s="60"/>
      <c r="AB424" s="60"/>
      <c r="AC424" s="60"/>
      <c r="AD424" s="60"/>
      <c r="AE424" s="60"/>
      <c r="AF424" s="60"/>
      <c r="AG424" s="60"/>
      <c r="AH424" s="60"/>
      <c r="AI424" s="60"/>
      <c r="AJ424" s="60"/>
    </row>
    <row r="425" spans="1:36" x14ac:dyDescent="0.2">
      <c r="A425" s="60"/>
      <c r="B425" s="60"/>
      <c r="C425" s="60"/>
      <c r="D425" s="60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</row>
    <row r="426" spans="1:36" x14ac:dyDescent="0.2">
      <c r="A426" s="60"/>
      <c r="B426" s="60"/>
      <c r="C426" s="60"/>
      <c r="D426" s="60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</row>
    <row r="427" spans="1:36" x14ac:dyDescent="0.2">
      <c r="A427" s="60"/>
      <c r="B427" s="60"/>
      <c r="C427" s="60"/>
      <c r="D427" s="60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</row>
    <row r="428" spans="1:36" x14ac:dyDescent="0.2">
      <c r="A428" s="60"/>
      <c r="B428" s="60"/>
      <c r="C428" s="60"/>
      <c r="D428" s="60"/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  <c r="AA428" s="60"/>
      <c r="AB428" s="60"/>
      <c r="AC428" s="60"/>
      <c r="AD428" s="60"/>
      <c r="AE428" s="60"/>
      <c r="AF428" s="60"/>
      <c r="AG428" s="60"/>
      <c r="AH428" s="60"/>
      <c r="AI428" s="60"/>
      <c r="AJ428" s="60"/>
    </row>
    <row r="429" spans="1:36" x14ac:dyDescent="0.2">
      <c r="A429" s="60"/>
      <c r="B429" s="60"/>
      <c r="C429" s="60"/>
      <c r="D429" s="60"/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</row>
    <row r="430" spans="1:36" x14ac:dyDescent="0.2">
      <c r="A430" s="60"/>
      <c r="B430" s="60"/>
      <c r="C430" s="60"/>
      <c r="D430" s="60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</row>
    <row r="431" spans="1:36" x14ac:dyDescent="0.2">
      <c r="A431" s="60"/>
      <c r="B431" s="60"/>
      <c r="C431" s="60"/>
      <c r="D431" s="60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  <c r="AA431" s="60"/>
      <c r="AB431" s="60"/>
      <c r="AC431" s="60"/>
      <c r="AD431" s="60"/>
      <c r="AE431" s="60"/>
      <c r="AF431" s="60"/>
      <c r="AG431" s="60"/>
      <c r="AH431" s="60"/>
      <c r="AI431" s="60"/>
      <c r="AJ431" s="60"/>
    </row>
    <row r="432" spans="1:36" x14ac:dyDescent="0.2">
      <c r="A432" s="60"/>
      <c r="B432" s="60"/>
      <c r="C432" s="60"/>
      <c r="D432" s="60"/>
      <c r="E432" s="60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  <c r="AA432" s="60"/>
      <c r="AB432" s="60"/>
      <c r="AC432" s="60"/>
      <c r="AD432" s="60"/>
      <c r="AE432" s="60"/>
      <c r="AF432" s="60"/>
      <c r="AG432" s="60"/>
      <c r="AH432" s="60"/>
      <c r="AI432" s="60"/>
      <c r="AJ432" s="60"/>
    </row>
    <row r="433" spans="1:36" x14ac:dyDescent="0.2">
      <c r="A433" s="60"/>
      <c r="B433" s="60"/>
      <c r="C433" s="60"/>
      <c r="D433" s="60"/>
      <c r="E433" s="60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  <c r="AA433" s="60"/>
      <c r="AB433" s="60"/>
      <c r="AC433" s="60"/>
      <c r="AD433" s="60"/>
      <c r="AE433" s="60"/>
      <c r="AF433" s="60"/>
      <c r="AG433" s="60"/>
      <c r="AH433" s="60"/>
      <c r="AI433" s="60"/>
      <c r="AJ433" s="60"/>
    </row>
    <row r="434" spans="1:36" x14ac:dyDescent="0.2">
      <c r="A434" s="60"/>
      <c r="B434" s="60"/>
      <c r="C434" s="60"/>
      <c r="D434" s="60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  <c r="AA434" s="60"/>
      <c r="AB434" s="60"/>
      <c r="AC434" s="60"/>
      <c r="AD434" s="60"/>
      <c r="AE434" s="60"/>
      <c r="AF434" s="60"/>
      <c r="AG434" s="60"/>
      <c r="AH434" s="60"/>
      <c r="AI434" s="60"/>
      <c r="AJ434" s="60"/>
    </row>
    <row r="435" spans="1:36" x14ac:dyDescent="0.2">
      <c r="A435" s="60"/>
      <c r="B435" s="60"/>
      <c r="C435" s="60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x14ac:dyDescent="0.2">
      <c r="A436" s="60"/>
      <c r="B436" s="60"/>
      <c r="C436" s="60"/>
      <c r="D436" s="60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</row>
    <row r="437" spans="1:36" x14ac:dyDescent="0.2">
      <c r="A437" s="60"/>
      <c r="B437" s="60"/>
      <c r="C437" s="60"/>
      <c r="D437" s="60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</row>
    <row r="438" spans="1:36" x14ac:dyDescent="0.2">
      <c r="A438" s="60"/>
      <c r="B438" s="60"/>
      <c r="C438" s="60"/>
      <c r="D438" s="60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</row>
    <row r="439" spans="1:36" x14ac:dyDescent="0.2">
      <c r="A439" s="60"/>
      <c r="B439" s="60"/>
      <c r="C439" s="60"/>
      <c r="D439" s="60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/>
      <c r="AD439" s="60"/>
      <c r="AE439" s="60"/>
      <c r="AF439" s="60"/>
      <c r="AG439" s="60"/>
      <c r="AH439" s="60"/>
      <c r="AI439" s="60"/>
      <c r="AJ439" s="60"/>
    </row>
    <row r="440" spans="1:36" x14ac:dyDescent="0.2">
      <c r="A440" s="60"/>
      <c r="B440" s="60"/>
      <c r="C440" s="60"/>
      <c r="D440" s="60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  <c r="AA440" s="60"/>
      <c r="AB440" s="60"/>
      <c r="AC440" s="60"/>
      <c r="AD440" s="60"/>
      <c r="AE440" s="60"/>
      <c r="AF440" s="60"/>
      <c r="AG440" s="60"/>
      <c r="AH440" s="60"/>
      <c r="AI440" s="60"/>
      <c r="AJ440" s="60"/>
    </row>
    <row r="441" spans="1:36" x14ac:dyDescent="0.2">
      <c r="A441" s="60"/>
      <c r="B441" s="60"/>
      <c r="C441" s="60"/>
      <c r="D441" s="60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</row>
    <row r="442" spans="1:36" x14ac:dyDescent="0.2">
      <c r="A442" s="60"/>
      <c r="B442" s="60"/>
      <c r="C442" s="60"/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A442" s="60"/>
      <c r="AB442" s="60"/>
      <c r="AC442" s="60"/>
      <c r="AD442" s="60"/>
      <c r="AE442" s="60"/>
      <c r="AF442" s="60"/>
      <c r="AG442" s="60"/>
      <c r="AH442" s="60"/>
      <c r="AI442" s="60"/>
      <c r="AJ442" s="60"/>
    </row>
    <row r="443" spans="1:36" x14ac:dyDescent="0.2">
      <c r="A443" s="60"/>
      <c r="B443" s="60"/>
      <c r="C443" s="60"/>
      <c r="D443" s="60"/>
      <c r="E443" s="60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  <c r="AA443" s="60"/>
      <c r="AB443" s="60"/>
      <c r="AC443" s="60"/>
      <c r="AD443" s="60"/>
      <c r="AE443" s="60"/>
      <c r="AF443" s="60"/>
      <c r="AG443" s="60"/>
      <c r="AH443" s="60"/>
      <c r="AI443" s="60"/>
      <c r="AJ443" s="60"/>
    </row>
    <row r="444" spans="1:36" x14ac:dyDescent="0.2">
      <c r="A444" s="60"/>
      <c r="B444" s="60"/>
      <c r="C444" s="60"/>
      <c r="D444" s="60"/>
      <c r="E444" s="60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  <c r="AB444" s="60"/>
      <c r="AC444" s="60"/>
      <c r="AD444" s="60"/>
      <c r="AE444" s="60"/>
      <c r="AF444" s="60"/>
      <c r="AG444" s="60"/>
      <c r="AH444" s="60"/>
      <c r="AI444" s="60"/>
      <c r="AJ444" s="60"/>
    </row>
    <row r="445" spans="1:36" x14ac:dyDescent="0.2">
      <c r="A445" s="60"/>
      <c r="B445" s="60"/>
      <c r="C445" s="60"/>
      <c r="D445" s="60"/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  <c r="AA445" s="60"/>
      <c r="AB445" s="60"/>
      <c r="AC445" s="60"/>
      <c r="AD445" s="60"/>
      <c r="AE445" s="60"/>
      <c r="AF445" s="60"/>
      <c r="AG445" s="60"/>
      <c r="AH445" s="60"/>
      <c r="AI445" s="60"/>
      <c r="AJ445" s="60"/>
    </row>
    <row r="446" spans="1:36" x14ac:dyDescent="0.2">
      <c r="A446" s="60"/>
      <c r="B446" s="60"/>
      <c r="C446" s="60"/>
      <c r="D446" s="60"/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  <c r="AA446" s="60"/>
      <c r="AB446" s="60"/>
      <c r="AC446" s="60"/>
      <c r="AD446" s="60"/>
      <c r="AE446" s="60"/>
      <c r="AF446" s="60"/>
      <c r="AG446" s="60"/>
      <c r="AH446" s="60"/>
      <c r="AI446" s="60"/>
      <c r="AJ446" s="60"/>
    </row>
    <row r="447" spans="1:36" x14ac:dyDescent="0.2">
      <c r="A447" s="60"/>
      <c r="B447" s="60"/>
      <c r="C447" s="60"/>
      <c r="D447" s="60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  <c r="AA447" s="60"/>
      <c r="AB447" s="60"/>
      <c r="AC447" s="60"/>
      <c r="AD447" s="60"/>
      <c r="AE447" s="60"/>
      <c r="AF447" s="60"/>
      <c r="AG447" s="60"/>
      <c r="AH447" s="60"/>
      <c r="AI447" s="60"/>
      <c r="AJ447" s="60"/>
    </row>
    <row r="448" spans="1:36" x14ac:dyDescent="0.2">
      <c r="A448" s="60"/>
      <c r="B448" s="60"/>
      <c r="C448" s="60"/>
      <c r="D448" s="60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</row>
    <row r="449" spans="1:36" x14ac:dyDescent="0.2">
      <c r="A449" s="60"/>
      <c r="B449" s="60"/>
      <c r="C449" s="60"/>
      <c r="D449" s="60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  <c r="AA449" s="60"/>
      <c r="AB449" s="60"/>
      <c r="AC449" s="60"/>
      <c r="AD449" s="60"/>
      <c r="AE449" s="60"/>
      <c r="AF449" s="60"/>
      <c r="AG449" s="60"/>
      <c r="AH449" s="60"/>
      <c r="AI449" s="60"/>
      <c r="AJ449" s="60"/>
    </row>
    <row r="450" spans="1:36" x14ac:dyDescent="0.2">
      <c r="A450" s="60"/>
      <c r="B450" s="60"/>
      <c r="C450" s="60"/>
      <c r="D450" s="60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  <c r="AA450" s="60"/>
      <c r="AB450" s="60"/>
      <c r="AC450" s="60"/>
      <c r="AD450" s="60"/>
      <c r="AE450" s="60"/>
      <c r="AF450" s="60"/>
      <c r="AG450" s="60"/>
      <c r="AH450" s="60"/>
      <c r="AI450" s="60"/>
      <c r="AJ450" s="60"/>
    </row>
    <row r="451" spans="1:36" x14ac:dyDescent="0.2">
      <c r="A451" s="60"/>
      <c r="B451" s="60"/>
      <c r="C451" s="60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x14ac:dyDescent="0.2">
      <c r="A452" s="60"/>
      <c r="B452" s="60"/>
      <c r="C452" s="60"/>
      <c r="D452" s="60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  <c r="AA452" s="60"/>
      <c r="AB452" s="60"/>
      <c r="AC452" s="60"/>
      <c r="AD452" s="60"/>
      <c r="AE452" s="60"/>
      <c r="AF452" s="60"/>
      <c r="AG452" s="60"/>
      <c r="AH452" s="60"/>
      <c r="AI452" s="60"/>
      <c r="AJ452" s="60"/>
    </row>
    <row r="453" spans="1:36" x14ac:dyDescent="0.2">
      <c r="A453" s="60"/>
      <c r="B453" s="60"/>
      <c r="C453" s="60"/>
      <c r="D453" s="60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  <c r="AA453" s="60"/>
      <c r="AB453" s="60"/>
      <c r="AC453" s="60"/>
      <c r="AD453" s="60"/>
      <c r="AE453" s="60"/>
      <c r="AF453" s="60"/>
      <c r="AG453" s="60"/>
      <c r="AH453" s="60"/>
      <c r="AI453" s="60"/>
      <c r="AJ453" s="60"/>
    </row>
    <row r="454" spans="1:36" x14ac:dyDescent="0.2">
      <c r="A454" s="60"/>
      <c r="B454" s="60"/>
      <c r="C454" s="60"/>
      <c r="D454" s="60"/>
      <c r="E454" s="60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  <c r="AA454" s="60"/>
      <c r="AB454" s="60"/>
      <c r="AC454" s="60"/>
      <c r="AD454" s="60"/>
      <c r="AE454" s="60"/>
      <c r="AF454" s="60"/>
      <c r="AG454" s="60"/>
      <c r="AH454" s="60"/>
      <c r="AI454" s="60"/>
      <c r="AJ454" s="60"/>
    </row>
    <row r="455" spans="1:36" x14ac:dyDescent="0.2">
      <c r="A455" s="60"/>
      <c r="B455" s="60"/>
      <c r="C455" s="60"/>
      <c r="D455" s="60"/>
      <c r="E455" s="60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  <c r="AA455" s="60"/>
      <c r="AB455" s="60"/>
      <c r="AC455" s="60"/>
      <c r="AD455" s="60"/>
      <c r="AE455" s="60"/>
      <c r="AF455" s="60"/>
      <c r="AG455" s="60"/>
      <c r="AH455" s="60"/>
      <c r="AI455" s="60"/>
      <c r="AJ455" s="60"/>
    </row>
    <row r="456" spans="1:36" x14ac:dyDescent="0.2">
      <c r="A456" s="60"/>
      <c r="B456" s="60"/>
      <c r="C456" s="60"/>
      <c r="D456" s="60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  <c r="AA456" s="60"/>
      <c r="AB456" s="60"/>
      <c r="AC456" s="60"/>
      <c r="AD456" s="60"/>
      <c r="AE456" s="60"/>
      <c r="AF456" s="60"/>
      <c r="AG456" s="60"/>
      <c r="AH456" s="60"/>
      <c r="AI456" s="60"/>
      <c r="AJ456" s="60"/>
    </row>
    <row r="457" spans="1:36" x14ac:dyDescent="0.2">
      <c r="A457" s="60"/>
      <c r="B457" s="60"/>
      <c r="C457" s="60"/>
      <c r="D457" s="60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/>
      <c r="AD457" s="60"/>
      <c r="AE457" s="60"/>
      <c r="AF457" s="60"/>
      <c r="AG457" s="60"/>
      <c r="AH457" s="60"/>
      <c r="AI457" s="60"/>
      <c r="AJ457" s="60"/>
    </row>
    <row r="458" spans="1:36" x14ac:dyDescent="0.2">
      <c r="A458" s="60"/>
      <c r="B458" s="60"/>
      <c r="C458" s="60"/>
      <c r="D458" s="60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</row>
    <row r="459" spans="1:36" x14ac:dyDescent="0.2">
      <c r="A459" s="60"/>
      <c r="B459" s="60"/>
      <c r="C459" s="60"/>
      <c r="D459" s="60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</row>
    <row r="460" spans="1:36" x14ac:dyDescent="0.2">
      <c r="A460" s="60"/>
      <c r="B460" s="60"/>
      <c r="C460" s="60"/>
      <c r="D460" s="60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</row>
    <row r="461" spans="1:36" x14ac:dyDescent="0.2">
      <c r="A461" s="60"/>
      <c r="B461" s="60"/>
      <c r="C461" s="60"/>
      <c r="D461" s="60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</row>
    <row r="462" spans="1:36" x14ac:dyDescent="0.2">
      <c r="A462" s="60"/>
      <c r="B462" s="60"/>
      <c r="C462" s="60"/>
      <c r="D462" s="60"/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  <c r="AA462" s="60"/>
      <c r="AB462" s="60"/>
      <c r="AC462" s="60"/>
      <c r="AD462" s="60"/>
      <c r="AE462" s="60"/>
      <c r="AF462" s="60"/>
      <c r="AG462" s="60"/>
      <c r="AH462" s="60"/>
      <c r="AI462" s="60"/>
      <c r="AJ462" s="60"/>
    </row>
    <row r="463" spans="1:36" x14ac:dyDescent="0.2">
      <c r="A463" s="60"/>
      <c r="B463" s="60"/>
      <c r="C463" s="60"/>
      <c r="D463" s="60"/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  <c r="AA463" s="60"/>
      <c r="AB463" s="60"/>
      <c r="AC463" s="60"/>
      <c r="AD463" s="60"/>
      <c r="AE463" s="60"/>
      <c r="AF463" s="60"/>
      <c r="AG463" s="60"/>
      <c r="AH463" s="60"/>
      <c r="AI463" s="60"/>
      <c r="AJ463" s="60"/>
    </row>
    <row r="464" spans="1:36" x14ac:dyDescent="0.2">
      <c r="A464" s="60"/>
      <c r="B464" s="60"/>
      <c r="C464" s="60"/>
      <c r="D464" s="60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</row>
    <row r="465" spans="1:36" x14ac:dyDescent="0.2">
      <c r="A465" s="60"/>
      <c r="B465" s="60"/>
      <c r="C465" s="60"/>
      <c r="D465" s="60"/>
      <c r="E465" s="60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  <c r="AA465" s="60"/>
      <c r="AB465" s="60"/>
      <c r="AC465" s="60"/>
      <c r="AD465" s="60"/>
      <c r="AE465" s="60"/>
      <c r="AF465" s="60"/>
      <c r="AG465" s="60"/>
      <c r="AH465" s="60"/>
      <c r="AI465" s="60"/>
      <c r="AJ465" s="60"/>
    </row>
    <row r="466" spans="1:36" x14ac:dyDescent="0.2">
      <c r="A466" s="60"/>
      <c r="B466" s="60"/>
      <c r="C466" s="60"/>
      <c r="D466" s="60"/>
      <c r="E466" s="60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  <c r="AB466" s="60"/>
      <c r="AC466" s="60"/>
      <c r="AD466" s="60"/>
      <c r="AE466" s="60"/>
      <c r="AF466" s="60"/>
      <c r="AG466" s="60"/>
      <c r="AH466" s="60"/>
      <c r="AI466" s="60"/>
      <c r="AJ466" s="60"/>
    </row>
    <row r="467" spans="1:36" x14ac:dyDescent="0.2">
      <c r="A467" s="60"/>
      <c r="B467" s="60"/>
      <c r="C467" s="60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x14ac:dyDescent="0.2">
      <c r="A468" s="60"/>
      <c r="B468" s="60"/>
      <c r="C468" s="60"/>
      <c r="D468" s="60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  <c r="AA468" s="60"/>
      <c r="AB468" s="60"/>
      <c r="AC468" s="60"/>
      <c r="AD468" s="60"/>
      <c r="AE468" s="60"/>
      <c r="AF468" s="60"/>
      <c r="AG468" s="60"/>
      <c r="AH468" s="60"/>
      <c r="AI468" s="60"/>
      <c r="AJ468" s="60"/>
    </row>
    <row r="469" spans="1:36" x14ac:dyDescent="0.2">
      <c r="A469" s="60"/>
      <c r="B469" s="60"/>
      <c r="C469" s="60"/>
      <c r="D469" s="60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/>
      <c r="AD469" s="60"/>
      <c r="AE469" s="60"/>
      <c r="AF469" s="60"/>
      <c r="AG469" s="60"/>
      <c r="AH469" s="60"/>
      <c r="AI469" s="60"/>
      <c r="AJ469" s="60"/>
    </row>
    <row r="470" spans="1:36" x14ac:dyDescent="0.2">
      <c r="A470" s="60"/>
      <c r="B470" s="60"/>
      <c r="C470" s="60"/>
      <c r="D470" s="60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/>
      <c r="AB470" s="60"/>
      <c r="AC470" s="60"/>
      <c r="AD470" s="60"/>
      <c r="AE470" s="60"/>
      <c r="AF470" s="60"/>
      <c r="AG470" s="60"/>
      <c r="AH470" s="60"/>
      <c r="AI470" s="60"/>
      <c r="AJ470" s="60"/>
    </row>
    <row r="471" spans="1:36" x14ac:dyDescent="0.2">
      <c r="A471" s="60"/>
      <c r="B471" s="60"/>
      <c r="C471" s="60"/>
      <c r="D471" s="60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  <c r="AA471" s="60"/>
      <c r="AB471" s="60"/>
      <c r="AC471" s="60"/>
      <c r="AD471" s="60"/>
      <c r="AE471" s="60"/>
      <c r="AF471" s="60"/>
      <c r="AG471" s="60"/>
      <c r="AH471" s="60"/>
      <c r="AI471" s="60"/>
      <c r="AJ471" s="60"/>
    </row>
    <row r="472" spans="1:36" x14ac:dyDescent="0.2">
      <c r="A472" s="60"/>
      <c r="B472" s="60"/>
      <c r="C472" s="60"/>
      <c r="D472" s="60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</row>
    <row r="473" spans="1:36" x14ac:dyDescent="0.2">
      <c r="A473" s="60"/>
      <c r="B473" s="60"/>
      <c r="C473" s="60"/>
      <c r="D473" s="60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</row>
    <row r="474" spans="1:36" x14ac:dyDescent="0.2">
      <c r="A474" s="60"/>
      <c r="B474" s="60"/>
      <c r="C474" s="60"/>
      <c r="D474" s="60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  <c r="AA474" s="60"/>
      <c r="AB474" s="60"/>
      <c r="AC474" s="60"/>
      <c r="AD474" s="60"/>
      <c r="AE474" s="60"/>
      <c r="AF474" s="60"/>
      <c r="AG474" s="60"/>
      <c r="AH474" s="60"/>
      <c r="AI474" s="60"/>
      <c r="AJ474" s="60"/>
    </row>
    <row r="475" spans="1:36" x14ac:dyDescent="0.2">
      <c r="A475" s="60"/>
      <c r="B475" s="60"/>
      <c r="C475" s="60"/>
      <c r="D475" s="60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  <c r="AA475" s="60"/>
      <c r="AB475" s="60"/>
      <c r="AC475" s="60"/>
      <c r="AD475" s="60"/>
      <c r="AE475" s="60"/>
      <c r="AF475" s="60"/>
      <c r="AG475" s="60"/>
      <c r="AH475" s="60"/>
      <c r="AI475" s="60"/>
      <c r="AJ475" s="60"/>
    </row>
    <row r="476" spans="1:36" x14ac:dyDescent="0.2">
      <c r="A476" s="60"/>
      <c r="B476" s="60"/>
      <c r="C476" s="60"/>
      <c r="D476" s="60"/>
      <c r="E476" s="60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  <c r="AA476" s="60"/>
      <c r="AB476" s="60"/>
      <c r="AC476" s="60"/>
      <c r="AD476" s="60"/>
      <c r="AE476" s="60"/>
      <c r="AF476" s="60"/>
      <c r="AG476" s="60"/>
      <c r="AH476" s="60"/>
      <c r="AI476" s="60"/>
      <c r="AJ476" s="60"/>
    </row>
    <row r="477" spans="1:36" x14ac:dyDescent="0.2">
      <c r="A477" s="60"/>
      <c r="B477" s="60"/>
      <c r="C477" s="60"/>
      <c r="D477" s="60"/>
      <c r="E477" s="60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  <c r="AA477" s="60"/>
      <c r="AB477" s="60"/>
      <c r="AC477" s="60"/>
      <c r="AD477" s="60"/>
      <c r="AE477" s="60"/>
      <c r="AF477" s="60"/>
      <c r="AG477" s="60"/>
      <c r="AH477" s="60"/>
      <c r="AI477" s="60"/>
      <c r="AJ477" s="60"/>
    </row>
    <row r="478" spans="1:36" x14ac:dyDescent="0.2">
      <c r="A478" s="60"/>
      <c r="B478" s="60"/>
      <c r="C478" s="60"/>
      <c r="D478" s="60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  <c r="AA478" s="60"/>
      <c r="AB478" s="60"/>
      <c r="AC478" s="60"/>
      <c r="AD478" s="60"/>
      <c r="AE478" s="60"/>
      <c r="AF478" s="60"/>
      <c r="AG478" s="60"/>
      <c r="AH478" s="60"/>
      <c r="AI478" s="60"/>
      <c r="AJ478" s="60"/>
    </row>
    <row r="479" spans="1:36" x14ac:dyDescent="0.2">
      <c r="A479" s="60"/>
      <c r="B479" s="60"/>
      <c r="C479" s="60"/>
      <c r="D479" s="60"/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  <c r="AA479" s="60"/>
      <c r="AB479" s="60"/>
      <c r="AC479" s="60"/>
      <c r="AD479" s="60"/>
      <c r="AE479" s="60"/>
      <c r="AF479" s="60"/>
      <c r="AG479" s="60"/>
      <c r="AH479" s="60"/>
      <c r="AI479" s="60"/>
      <c r="AJ479" s="60"/>
    </row>
    <row r="480" spans="1:36" x14ac:dyDescent="0.2">
      <c r="A480" s="60"/>
      <c r="B480" s="60"/>
      <c r="C480" s="60"/>
      <c r="D480" s="60"/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  <c r="AA480" s="60"/>
      <c r="AB480" s="60"/>
      <c r="AC480" s="60"/>
      <c r="AD480" s="60"/>
      <c r="AE480" s="60"/>
      <c r="AF480" s="60"/>
      <c r="AG480" s="60"/>
      <c r="AH480" s="60"/>
      <c r="AI480" s="60"/>
      <c r="AJ480" s="60"/>
    </row>
    <row r="481" spans="1:36" x14ac:dyDescent="0.2">
      <c r="A481" s="60"/>
      <c r="B481" s="60"/>
      <c r="C481" s="60"/>
      <c r="D481" s="60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  <c r="AA481" s="60"/>
      <c r="AB481" s="60"/>
      <c r="AC481" s="60"/>
      <c r="AD481" s="60"/>
      <c r="AE481" s="60"/>
      <c r="AF481" s="60"/>
      <c r="AG481" s="60"/>
      <c r="AH481" s="60"/>
      <c r="AI481" s="60"/>
      <c r="AJ481" s="60"/>
    </row>
    <row r="482" spans="1:36" x14ac:dyDescent="0.2">
      <c r="A482" s="60"/>
      <c r="B482" s="60"/>
      <c r="C482" s="60"/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</row>
    <row r="1048567" spans="2:16" x14ac:dyDescent="0.2">
      <c r="B1048567" s="54"/>
      <c r="C1048567" s="55"/>
      <c r="D1048567" s="54"/>
      <c r="E1048567" s="54"/>
      <c r="F1048567" s="54"/>
      <c r="G1048567" s="54"/>
      <c r="H1048567" s="54"/>
      <c r="I1048567" s="54"/>
      <c r="J1048567" s="54"/>
      <c r="K1048567" s="54"/>
      <c r="L1048567" s="54"/>
      <c r="M1048567" s="54"/>
      <c r="N1048567" s="54"/>
      <c r="O1048567" s="54"/>
      <c r="P1048567" s="54"/>
    </row>
    <row r="1048568" spans="2:16" x14ac:dyDescent="0.2">
      <c r="B1048568" s="56" t="e">
        <f>#REF!</f>
        <v>#REF!</v>
      </c>
      <c r="C1048568" s="56" t="e">
        <f>B1048568</f>
        <v>#REF!</v>
      </c>
      <c r="D1048568" s="55" t="e">
        <f>C1048568+C1048569+#REF!</f>
        <v>#REF!</v>
      </c>
      <c r="E1048568" s="55" t="e">
        <f>D1048568</f>
        <v>#REF!</v>
      </c>
      <c r="F1048568" s="54"/>
      <c r="G1048568" s="54"/>
      <c r="H1048568" s="54"/>
      <c r="I1048568" s="54"/>
      <c r="J1048568" s="54"/>
      <c r="K1048568" s="54"/>
      <c r="L1048568" s="54"/>
      <c r="M1048568" s="54"/>
      <c r="N1048568" s="54"/>
      <c r="O1048568" s="54"/>
      <c r="P1048568" s="54"/>
    </row>
    <row r="1048569" spans="2:16" x14ac:dyDescent="0.2">
      <c r="B1048569" s="57">
        <v>0</v>
      </c>
      <c r="C1048569" s="56" t="e">
        <f>#REF!</f>
        <v>#REF!</v>
      </c>
      <c r="D1048569" s="55" t="e">
        <f>-#REF!</f>
        <v>#REF!</v>
      </c>
      <c r="E1048569" s="55" t="e">
        <f>#REF!</f>
        <v>#REF!</v>
      </c>
      <c r="F1048569" s="55" t="e">
        <f>E1048569+E1048568</f>
        <v>#REF!</v>
      </c>
      <c r="G1048569" s="54"/>
      <c r="H1048569" s="54"/>
      <c r="I1048569" s="54"/>
      <c r="J1048569" s="54"/>
      <c r="K1048569" s="54"/>
      <c r="L1048569" s="54"/>
      <c r="M1048569" s="54"/>
      <c r="N1048569" s="54"/>
      <c r="O1048569" s="54"/>
      <c r="P1048569" s="54"/>
    </row>
    <row r="1048570" spans="2:16" x14ac:dyDescent="0.2">
      <c r="B1048570" s="54"/>
      <c r="C1048570" s="54"/>
      <c r="D1048570" s="54"/>
      <c r="E1048570" s="54"/>
      <c r="F1048570" s="54"/>
      <c r="G1048570" s="54"/>
      <c r="H1048570" s="54"/>
      <c r="I1048570" s="54"/>
      <c r="J1048570" s="54"/>
      <c r="K1048570" s="54"/>
      <c r="L1048570" s="54"/>
      <c r="M1048570" s="54"/>
      <c r="N1048570" s="54"/>
      <c r="O1048570" s="54"/>
      <c r="P1048570" s="54"/>
    </row>
    <row r="1048571" spans="2:16" ht="24" x14ac:dyDescent="0.2">
      <c r="B1048571" s="58" t="s">
        <v>243</v>
      </c>
      <c r="C1048571" s="59" t="s">
        <v>241</v>
      </c>
      <c r="D1048571" s="59" t="e">
        <f>#REF!</f>
        <v>#REF!</v>
      </c>
      <c r="E1048571" s="59" t="s">
        <v>244</v>
      </c>
      <c r="F1048571" s="54" t="s">
        <v>242</v>
      </c>
      <c r="G1048571" s="54"/>
      <c r="H1048571" s="54"/>
      <c r="I1048571" s="54"/>
      <c r="J1048571" s="54"/>
      <c r="K1048571" s="54"/>
      <c r="L1048571" s="54"/>
      <c r="M1048571" s="54"/>
      <c r="N1048571" s="54"/>
      <c r="O1048571" s="54"/>
      <c r="P1048571" s="54"/>
    </row>
    <row r="1048572" spans="2:16" x14ac:dyDescent="0.2">
      <c r="B1048572" s="54"/>
      <c r="C1048572" s="55"/>
    </row>
    <row r="1048573" spans="2:16" x14ac:dyDescent="0.2">
      <c r="B1048573" s="54"/>
      <c r="C1048573" s="55"/>
    </row>
    <row r="1048574" spans="2:16" x14ac:dyDescent="0.2">
      <c r="B1048574" s="54"/>
      <c r="C1048574" s="55"/>
    </row>
    <row r="1048575" spans="2:16" x14ac:dyDescent="0.2">
      <c r="B1048575" s="54"/>
      <c r="C1048575" s="55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tr">
        <f>'2.2 P&amp;L statement'!B4</f>
        <v>Net Sales</v>
      </c>
      <c r="C4" s="51">
        <f>'2.2 P&amp;L statement'!C4</f>
        <v>14.500341000000001</v>
      </c>
      <c r="D4" s="51">
        <f>'2.2 P&amp;L statement'!D4</f>
        <v>16.148295364999999</v>
      </c>
      <c r="E4" s="51">
        <f>'2.2 P&amp;L statement'!E4</f>
        <v>15.047803019</v>
      </c>
    </row>
    <row r="5" spans="2:5" x14ac:dyDescent="0.2">
      <c r="B5" s="51" t="str">
        <f>'2.2 P&amp;L statement'!B5</f>
        <v>Other revenues</v>
      </c>
      <c r="C5" s="51">
        <f>'2.2 P&amp;L statement'!C5</f>
        <v>4.7948561920000001</v>
      </c>
      <c r="D5" s="51">
        <f>'2.2 P&amp;L statement'!D5</f>
        <v>6.9602176449999993</v>
      </c>
      <c r="E5" s="51">
        <f>'2.2 P&amp;L statement'!E5</f>
        <v>6.3736175140000002</v>
      </c>
    </row>
    <row r="6" spans="2:5" x14ac:dyDescent="0.2">
      <c r="B6" s="51" t="str">
        <f>'2.2 P&amp;L statement'!B6</f>
        <v>Recharges</v>
      </c>
      <c r="C6" s="51">
        <f>'2.2 P&amp;L statement'!C6</f>
        <v>3.2200542519999997</v>
      </c>
      <c r="D6" s="51">
        <f>'2.2 P&amp;L statement'!D6</f>
        <v>2.9240919949999999</v>
      </c>
      <c r="E6" s="51">
        <f>'2.2 P&amp;L statement'!E6</f>
        <v>4.8931777299999997</v>
      </c>
    </row>
    <row r="7" spans="2:5" x14ac:dyDescent="0.2">
      <c r="B7" s="50"/>
      <c r="C7" s="52"/>
      <c r="D7" s="52"/>
      <c r="E7" s="52"/>
    </row>
    <row r="8" spans="2:5" x14ac:dyDescent="0.2">
      <c r="B8" s="50"/>
      <c r="C8" s="50"/>
      <c r="D8" s="50"/>
      <c r="E8" s="50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zoomScale="120" zoomScaleNormal="120" workbookViewId="0"/>
  </sheetViews>
  <sheetFormatPr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239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0" t="s">
        <v>240</v>
      </c>
      <c r="C4" s="51">
        <v>22.515251444</v>
      </c>
      <c r="D4" s="51">
        <v>26.032605005000001</v>
      </c>
      <c r="E4" s="51">
        <v>26.314598263000001</v>
      </c>
    </row>
    <row r="5" spans="2:5" x14ac:dyDescent="0.2">
      <c r="B5" s="2" t="s">
        <v>234</v>
      </c>
      <c r="C5" s="53">
        <v>0.80329281353949789</v>
      </c>
      <c r="D5" s="53">
        <v>0.79014052477841912</v>
      </c>
      <c r="E5" s="53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3.4 Bridge Chart</vt:lpstr>
      <vt:lpstr>3.2 Dougnut chart</vt:lpstr>
      <vt:lpstr>3.3 Area &amp; line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2022-02-21T23:32:47Z</dcterms:modified>
</cp:coreProperties>
</file>